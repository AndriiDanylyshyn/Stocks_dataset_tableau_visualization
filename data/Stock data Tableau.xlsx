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 prices" sheetId="1" r:id="rId5"/>
  </sheets>
  <definedNames/>
  <calcPr/>
</workbook>
</file>

<file path=xl/sharedStrings.xml><?xml version="1.0" encoding="utf-8"?>
<sst xmlns="http://schemas.openxmlformats.org/spreadsheetml/2006/main" count="1261" uniqueCount="7">
  <si>
    <t>Stock</t>
  </si>
  <si>
    <t>Daily % change</t>
  </si>
  <si>
    <t>OKTA</t>
  </si>
  <si>
    <t>SEDG</t>
  </si>
  <si>
    <t>AMZN</t>
  </si>
  <si>
    <t>TSLA</t>
  </si>
  <si>
    <t>BBBY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</si>
</sst>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</cols>
  <sheetData>
    <row r="1">
      <c r="A1" s="1" t="s">
        <v>0</v>
      </c>
      <c r="B1" s="2" t="str">
        <f>IFERROR(__xludf.DUMMYFUNCTION("GOOGLEFINANCE(A2, ""price"", EDATE(TODAY(), -12), TODAY()) "),"Date")</f>
        <v>Date</v>
      </c>
      <c r="C1" s="2" t="str">
        <f>IFERROR(__xludf.DUMMYFUNCTION("""COMPUTED_VALUE"""),"Close")</f>
        <v>Close</v>
      </c>
      <c r="D1" s="1" t="s">
        <v>1</v>
      </c>
    </row>
    <row r="2">
      <c r="A2" s="1" t="s">
        <v>2</v>
      </c>
      <c r="B2" s="3">
        <f>IFERROR(__xludf.DUMMYFUNCTION("""COMPUTED_VALUE"""),45712.66666666667)</f>
        <v>45712.66667</v>
      </c>
      <c r="C2" s="2">
        <f>IFERROR(__xludf.DUMMYFUNCTION("""COMPUTED_VALUE"""),90.88)</f>
        <v>90.88</v>
      </c>
    </row>
    <row r="3">
      <c r="A3" s="1" t="s">
        <v>2</v>
      </c>
      <c r="B3" s="3">
        <f>IFERROR(__xludf.DUMMYFUNCTION("""COMPUTED_VALUE"""),45713.66666666667)</f>
        <v>45713.66667</v>
      </c>
      <c r="C3" s="2">
        <f>IFERROR(__xludf.DUMMYFUNCTION("""COMPUTED_VALUE"""),89.34)</f>
        <v>89.34</v>
      </c>
      <c r="D3" s="2">
        <f t="shared" ref="D3:D252" si="1">(C3-C2)/C2</f>
        <v>-0.01694542254</v>
      </c>
    </row>
    <row r="4">
      <c r="A4" s="1" t="s">
        <v>2</v>
      </c>
      <c r="B4" s="3">
        <f>IFERROR(__xludf.DUMMYFUNCTION("""COMPUTED_VALUE"""),45714.66666666667)</f>
        <v>45714.66667</v>
      </c>
      <c r="C4" s="2">
        <f>IFERROR(__xludf.DUMMYFUNCTION("""COMPUTED_VALUE"""),89.58)</f>
        <v>89.58</v>
      </c>
      <c r="D4" s="2">
        <f t="shared" si="1"/>
        <v>0.002686366689</v>
      </c>
    </row>
    <row r="5">
      <c r="A5" s="1" t="s">
        <v>2</v>
      </c>
      <c r="B5" s="3">
        <f>IFERROR(__xludf.DUMMYFUNCTION("""COMPUTED_VALUE"""),45715.66666666667)</f>
        <v>45715.66667</v>
      </c>
      <c r="C5" s="2">
        <f>IFERROR(__xludf.DUMMYFUNCTION("""COMPUTED_VALUE"""),89.19)</f>
        <v>89.19</v>
      </c>
      <c r="D5" s="2">
        <f t="shared" si="1"/>
        <v>-0.004353650368</v>
      </c>
    </row>
    <row r="6">
      <c r="A6" s="1" t="s">
        <v>2</v>
      </c>
      <c r="B6" s="3">
        <f>IFERROR(__xludf.DUMMYFUNCTION("""COMPUTED_VALUE"""),45716.66666666667)</f>
        <v>45716.66667</v>
      </c>
      <c r="C6" s="2">
        <f>IFERROR(__xludf.DUMMYFUNCTION("""COMPUTED_VALUE"""),90.49)</f>
        <v>90.49</v>
      </c>
      <c r="D6" s="2">
        <f t="shared" si="1"/>
        <v>0.01457562507</v>
      </c>
    </row>
    <row r="7">
      <c r="A7" s="1" t="s">
        <v>2</v>
      </c>
      <c r="B7" s="3">
        <f>IFERROR(__xludf.DUMMYFUNCTION("""COMPUTED_VALUE"""),45719.66666666667)</f>
        <v>45719.66667</v>
      </c>
      <c r="C7" s="2">
        <f>IFERROR(__xludf.DUMMYFUNCTION("""COMPUTED_VALUE"""),87.16)</f>
        <v>87.16</v>
      </c>
      <c r="D7" s="2">
        <f t="shared" si="1"/>
        <v>-0.03679964637</v>
      </c>
    </row>
    <row r="8">
      <c r="A8" s="1" t="s">
        <v>2</v>
      </c>
      <c r="B8" s="3">
        <f>IFERROR(__xludf.DUMMYFUNCTION("""COMPUTED_VALUE"""),45720.66666666667)</f>
        <v>45720.66667</v>
      </c>
      <c r="C8" s="2">
        <f>IFERROR(__xludf.DUMMYFUNCTION("""COMPUTED_VALUE"""),108.31)</f>
        <v>108.31</v>
      </c>
      <c r="D8" s="2">
        <f t="shared" si="1"/>
        <v>0.2426571822</v>
      </c>
    </row>
    <row r="9">
      <c r="A9" s="1" t="s">
        <v>2</v>
      </c>
      <c r="B9" s="3">
        <f>IFERROR(__xludf.DUMMYFUNCTION("""COMPUTED_VALUE"""),45721.66666666667)</f>
        <v>45721.66667</v>
      </c>
      <c r="C9" s="2">
        <f>IFERROR(__xludf.DUMMYFUNCTION("""COMPUTED_VALUE"""),116.31)</f>
        <v>116.31</v>
      </c>
      <c r="D9" s="2">
        <f t="shared" si="1"/>
        <v>0.0738620626</v>
      </c>
    </row>
    <row r="10">
      <c r="A10" s="1" t="s">
        <v>2</v>
      </c>
      <c r="B10" s="3">
        <f>IFERROR(__xludf.DUMMYFUNCTION("""COMPUTED_VALUE"""),45722.66666666667)</f>
        <v>45722.66667</v>
      </c>
      <c r="C10" s="2">
        <f>IFERROR(__xludf.DUMMYFUNCTION("""COMPUTED_VALUE"""),111.22)</f>
        <v>111.22</v>
      </c>
      <c r="D10" s="2">
        <f t="shared" si="1"/>
        <v>-0.04376235921</v>
      </c>
    </row>
    <row r="11">
      <c r="A11" s="1" t="s">
        <v>2</v>
      </c>
      <c r="B11" s="3">
        <f>IFERROR(__xludf.DUMMYFUNCTION("""COMPUTED_VALUE"""),45723.66666666667)</f>
        <v>45723.66667</v>
      </c>
      <c r="C11" s="2">
        <f>IFERROR(__xludf.DUMMYFUNCTION("""COMPUTED_VALUE"""),112.44)</f>
        <v>112.44</v>
      </c>
      <c r="D11" s="2">
        <f t="shared" si="1"/>
        <v>0.01096925013</v>
      </c>
    </row>
    <row r="12">
      <c r="A12" s="1" t="s">
        <v>2</v>
      </c>
      <c r="B12" s="3">
        <f>IFERROR(__xludf.DUMMYFUNCTION("""COMPUTED_VALUE"""),45726.66666666667)</f>
        <v>45726.66667</v>
      </c>
      <c r="C12" s="2">
        <f>IFERROR(__xludf.DUMMYFUNCTION("""COMPUTED_VALUE"""),105.19)</f>
        <v>105.19</v>
      </c>
      <c r="D12" s="2">
        <f t="shared" si="1"/>
        <v>-0.06447883316</v>
      </c>
    </row>
    <row r="13">
      <c r="A13" s="1" t="s">
        <v>2</v>
      </c>
      <c r="B13" s="3">
        <f>IFERROR(__xludf.DUMMYFUNCTION("""COMPUTED_VALUE"""),45727.66666666667)</f>
        <v>45727.66667</v>
      </c>
      <c r="C13" s="2">
        <f>IFERROR(__xludf.DUMMYFUNCTION("""COMPUTED_VALUE"""),107.0)</f>
        <v>107</v>
      </c>
      <c r="D13" s="2">
        <f t="shared" si="1"/>
        <v>0.01720695884</v>
      </c>
    </row>
    <row r="14">
      <c r="A14" s="1" t="s">
        <v>2</v>
      </c>
      <c r="B14" s="3">
        <f>IFERROR(__xludf.DUMMYFUNCTION("""COMPUTED_VALUE"""),45728.66666666667)</f>
        <v>45728.66667</v>
      </c>
      <c r="C14" s="2">
        <f>IFERROR(__xludf.DUMMYFUNCTION("""COMPUTED_VALUE"""),108.78)</f>
        <v>108.78</v>
      </c>
      <c r="D14" s="2">
        <f t="shared" si="1"/>
        <v>0.01663551402</v>
      </c>
    </row>
    <row r="15">
      <c r="A15" s="1" t="s">
        <v>2</v>
      </c>
      <c r="B15" s="3">
        <f>IFERROR(__xludf.DUMMYFUNCTION("""COMPUTED_VALUE"""),45729.66666666667)</f>
        <v>45729.66667</v>
      </c>
      <c r="C15" s="2">
        <f>IFERROR(__xludf.DUMMYFUNCTION("""COMPUTED_VALUE"""),106.63)</f>
        <v>106.63</v>
      </c>
      <c r="D15" s="2">
        <f t="shared" si="1"/>
        <v>-0.01976466262</v>
      </c>
    </row>
    <row r="16">
      <c r="A16" s="1" t="s">
        <v>2</v>
      </c>
      <c r="B16" s="3">
        <f>IFERROR(__xludf.DUMMYFUNCTION("""COMPUTED_VALUE"""),45730.66666666667)</f>
        <v>45730.66667</v>
      </c>
      <c r="C16" s="2">
        <f>IFERROR(__xludf.DUMMYFUNCTION("""COMPUTED_VALUE"""),112.55)</f>
        <v>112.55</v>
      </c>
      <c r="D16" s="2">
        <f t="shared" si="1"/>
        <v>0.05551908469</v>
      </c>
    </row>
    <row r="17">
      <c r="A17" s="1" t="s">
        <v>2</v>
      </c>
      <c r="B17" s="3">
        <f>IFERROR(__xludf.DUMMYFUNCTION("""COMPUTED_VALUE"""),45733.66666666667)</f>
        <v>45733.66667</v>
      </c>
      <c r="C17" s="2">
        <f>IFERROR(__xludf.DUMMYFUNCTION("""COMPUTED_VALUE"""),115.64)</f>
        <v>115.64</v>
      </c>
      <c r="D17" s="2">
        <f t="shared" si="1"/>
        <v>0.02745446468</v>
      </c>
    </row>
    <row r="18">
      <c r="A18" s="1" t="s">
        <v>2</v>
      </c>
      <c r="B18" s="3">
        <f>IFERROR(__xludf.DUMMYFUNCTION("""COMPUTED_VALUE"""),45734.66666666667)</f>
        <v>45734.66667</v>
      </c>
      <c r="C18" s="2">
        <f>IFERROR(__xludf.DUMMYFUNCTION("""COMPUTED_VALUE"""),112.92)</f>
        <v>112.92</v>
      </c>
      <c r="D18" s="2">
        <f t="shared" si="1"/>
        <v>-0.02352127292</v>
      </c>
    </row>
    <row r="19">
      <c r="A19" s="1" t="s">
        <v>2</v>
      </c>
      <c r="B19" s="3">
        <f>IFERROR(__xludf.DUMMYFUNCTION("""COMPUTED_VALUE"""),45735.66666666667)</f>
        <v>45735.66667</v>
      </c>
      <c r="C19" s="2">
        <f>IFERROR(__xludf.DUMMYFUNCTION("""COMPUTED_VALUE"""),114.08)</f>
        <v>114.08</v>
      </c>
      <c r="D19" s="2">
        <f t="shared" si="1"/>
        <v>0.01027275948</v>
      </c>
    </row>
    <row r="20">
      <c r="A20" s="1" t="s">
        <v>2</v>
      </c>
      <c r="B20" s="3">
        <f>IFERROR(__xludf.DUMMYFUNCTION("""COMPUTED_VALUE"""),45736.66666666667)</f>
        <v>45736.66667</v>
      </c>
      <c r="C20" s="2">
        <f>IFERROR(__xludf.DUMMYFUNCTION("""COMPUTED_VALUE"""),112.8)</f>
        <v>112.8</v>
      </c>
      <c r="D20" s="2">
        <f t="shared" si="1"/>
        <v>-0.01122019635</v>
      </c>
    </row>
    <row r="21">
      <c r="A21" s="1" t="s">
        <v>2</v>
      </c>
      <c r="B21" s="3">
        <f>IFERROR(__xludf.DUMMYFUNCTION("""COMPUTED_VALUE"""),45737.66666666667)</f>
        <v>45737.66667</v>
      </c>
      <c r="C21" s="2">
        <f>IFERROR(__xludf.DUMMYFUNCTION("""COMPUTED_VALUE"""),113.74)</f>
        <v>113.74</v>
      </c>
      <c r="D21" s="2">
        <f t="shared" si="1"/>
        <v>0.008333333333</v>
      </c>
    </row>
    <row r="22">
      <c r="A22" s="1" t="s">
        <v>2</v>
      </c>
      <c r="B22" s="3">
        <f>IFERROR(__xludf.DUMMYFUNCTION("""COMPUTED_VALUE"""),45740.66666666667)</f>
        <v>45740.66667</v>
      </c>
      <c r="C22" s="2">
        <f>IFERROR(__xludf.DUMMYFUNCTION("""COMPUTED_VALUE"""),116.38)</f>
        <v>116.38</v>
      </c>
      <c r="D22" s="2">
        <f t="shared" si="1"/>
        <v>0.02321083172</v>
      </c>
    </row>
    <row r="23">
      <c r="A23" s="1" t="s">
        <v>2</v>
      </c>
      <c r="B23" s="3">
        <f>IFERROR(__xludf.DUMMYFUNCTION("""COMPUTED_VALUE"""),45741.66666666667)</f>
        <v>45741.66667</v>
      </c>
      <c r="C23" s="2">
        <f>IFERROR(__xludf.DUMMYFUNCTION("""COMPUTED_VALUE"""),116.72)</f>
        <v>116.72</v>
      </c>
      <c r="D23" s="2">
        <f t="shared" si="1"/>
        <v>0.002921464169</v>
      </c>
    </row>
    <row r="24">
      <c r="A24" s="1" t="s">
        <v>2</v>
      </c>
      <c r="B24" s="3">
        <f>IFERROR(__xludf.DUMMYFUNCTION("""COMPUTED_VALUE"""),45742.66666666667)</f>
        <v>45742.66667</v>
      </c>
      <c r="C24" s="2">
        <f>IFERROR(__xludf.DUMMYFUNCTION("""COMPUTED_VALUE"""),114.02)</f>
        <v>114.02</v>
      </c>
      <c r="D24" s="2">
        <f t="shared" si="1"/>
        <v>-0.02313228239</v>
      </c>
    </row>
    <row r="25">
      <c r="A25" s="1" t="s">
        <v>2</v>
      </c>
      <c r="B25" s="3">
        <f>IFERROR(__xludf.DUMMYFUNCTION("""COMPUTED_VALUE"""),45743.66666666667)</f>
        <v>45743.66667</v>
      </c>
      <c r="C25" s="2">
        <f>IFERROR(__xludf.DUMMYFUNCTION("""COMPUTED_VALUE"""),111.2)</f>
        <v>111.2</v>
      </c>
      <c r="D25" s="2">
        <f t="shared" si="1"/>
        <v>-0.02473250307</v>
      </c>
    </row>
    <row r="26">
      <c r="A26" s="1" t="s">
        <v>2</v>
      </c>
      <c r="B26" s="3">
        <f>IFERROR(__xludf.DUMMYFUNCTION("""COMPUTED_VALUE"""),45744.66666666667)</f>
        <v>45744.66667</v>
      </c>
      <c r="C26" s="2">
        <f>IFERROR(__xludf.DUMMYFUNCTION("""COMPUTED_VALUE"""),107.99)</f>
        <v>107.99</v>
      </c>
      <c r="D26" s="2">
        <f t="shared" si="1"/>
        <v>-0.02886690647</v>
      </c>
    </row>
    <row r="27">
      <c r="A27" s="1" t="s">
        <v>2</v>
      </c>
      <c r="B27" s="3">
        <f>IFERROR(__xludf.DUMMYFUNCTION("""COMPUTED_VALUE"""),45747.66666666667)</f>
        <v>45747.66667</v>
      </c>
      <c r="C27" s="2">
        <f>IFERROR(__xludf.DUMMYFUNCTION("""COMPUTED_VALUE"""),105.22)</f>
        <v>105.22</v>
      </c>
      <c r="D27" s="2">
        <f t="shared" si="1"/>
        <v>-0.0256505232</v>
      </c>
    </row>
    <row r="28">
      <c r="A28" s="1" t="s">
        <v>2</v>
      </c>
      <c r="B28" s="3">
        <f>IFERROR(__xludf.DUMMYFUNCTION("""COMPUTED_VALUE"""),45748.66666666667)</f>
        <v>45748.66667</v>
      </c>
      <c r="C28" s="2">
        <f>IFERROR(__xludf.DUMMYFUNCTION("""COMPUTED_VALUE"""),104.69)</f>
        <v>104.69</v>
      </c>
      <c r="D28" s="2">
        <f t="shared" si="1"/>
        <v>-0.005037065197</v>
      </c>
    </row>
    <row r="29">
      <c r="A29" s="1" t="s">
        <v>2</v>
      </c>
      <c r="B29" s="3">
        <f>IFERROR(__xludf.DUMMYFUNCTION("""COMPUTED_VALUE"""),45749.66666666667)</f>
        <v>45749.66667</v>
      </c>
      <c r="C29" s="2">
        <f>IFERROR(__xludf.DUMMYFUNCTION("""COMPUTED_VALUE"""),105.38)</f>
        <v>105.38</v>
      </c>
      <c r="D29" s="2">
        <f t="shared" si="1"/>
        <v>0.006590887382</v>
      </c>
    </row>
    <row r="30">
      <c r="A30" s="1" t="s">
        <v>2</v>
      </c>
      <c r="B30" s="3">
        <f>IFERROR(__xludf.DUMMYFUNCTION("""COMPUTED_VALUE"""),45750.66666666667)</f>
        <v>45750.66667</v>
      </c>
      <c r="C30" s="2">
        <f>IFERROR(__xludf.DUMMYFUNCTION("""COMPUTED_VALUE"""),100.27)</f>
        <v>100.27</v>
      </c>
      <c r="D30" s="2">
        <f t="shared" si="1"/>
        <v>-0.0484911748</v>
      </c>
    </row>
    <row r="31">
      <c r="A31" s="1" t="s">
        <v>2</v>
      </c>
      <c r="B31" s="3">
        <f>IFERROR(__xludf.DUMMYFUNCTION("""COMPUTED_VALUE"""),45751.66666666667)</f>
        <v>45751.66667</v>
      </c>
      <c r="C31" s="2">
        <f>IFERROR(__xludf.DUMMYFUNCTION("""COMPUTED_VALUE"""),91.93)</f>
        <v>91.93</v>
      </c>
      <c r="D31" s="2">
        <f t="shared" si="1"/>
        <v>-0.08317542635</v>
      </c>
    </row>
    <row r="32">
      <c r="A32" s="1" t="s">
        <v>2</v>
      </c>
      <c r="B32" s="3">
        <f>IFERROR(__xludf.DUMMYFUNCTION("""COMPUTED_VALUE"""),45754.66666666667)</f>
        <v>45754.66667</v>
      </c>
      <c r="C32" s="2">
        <f>IFERROR(__xludf.DUMMYFUNCTION("""COMPUTED_VALUE"""),91.24)</f>
        <v>91.24</v>
      </c>
      <c r="D32" s="2">
        <f t="shared" si="1"/>
        <v>-0.007505710867</v>
      </c>
    </row>
    <row r="33">
      <c r="A33" s="1" t="s">
        <v>2</v>
      </c>
      <c r="B33" s="3">
        <f>IFERROR(__xludf.DUMMYFUNCTION("""COMPUTED_VALUE"""),45755.66666666667)</f>
        <v>45755.66667</v>
      </c>
      <c r="C33" s="2">
        <f>IFERROR(__xludf.DUMMYFUNCTION("""COMPUTED_VALUE"""),91.39)</f>
        <v>91.39</v>
      </c>
      <c r="D33" s="2">
        <f t="shared" si="1"/>
        <v>0.001644015783</v>
      </c>
    </row>
    <row r="34">
      <c r="A34" s="1" t="s">
        <v>2</v>
      </c>
      <c r="B34" s="3">
        <f>IFERROR(__xludf.DUMMYFUNCTION("""COMPUTED_VALUE"""),45756.66666666667)</f>
        <v>45756.66667</v>
      </c>
      <c r="C34" s="2">
        <f>IFERROR(__xludf.DUMMYFUNCTION("""COMPUTED_VALUE"""),101.73)</f>
        <v>101.73</v>
      </c>
      <c r="D34" s="2">
        <f t="shared" si="1"/>
        <v>0.1131414816</v>
      </c>
    </row>
    <row r="35">
      <c r="A35" s="1" t="s">
        <v>2</v>
      </c>
      <c r="B35" s="3">
        <f>IFERROR(__xludf.DUMMYFUNCTION("""COMPUTED_VALUE"""),45757.66666666667)</f>
        <v>45757.66667</v>
      </c>
      <c r="C35" s="2">
        <f>IFERROR(__xludf.DUMMYFUNCTION("""COMPUTED_VALUE"""),101.63)</f>
        <v>101.63</v>
      </c>
      <c r="D35" s="2">
        <f t="shared" si="1"/>
        <v>-0.0009829942003</v>
      </c>
    </row>
    <row r="36">
      <c r="A36" s="1" t="s">
        <v>2</v>
      </c>
      <c r="B36" s="3">
        <f>IFERROR(__xludf.DUMMYFUNCTION("""COMPUTED_VALUE"""),45758.66666666667)</f>
        <v>45758.66667</v>
      </c>
      <c r="C36" s="2">
        <f>IFERROR(__xludf.DUMMYFUNCTION("""COMPUTED_VALUE"""),101.82)</f>
        <v>101.82</v>
      </c>
      <c r="D36" s="2">
        <f t="shared" si="1"/>
        <v>0.001869526715</v>
      </c>
    </row>
    <row r="37">
      <c r="A37" s="1" t="s">
        <v>2</v>
      </c>
      <c r="B37" s="3">
        <f>IFERROR(__xludf.DUMMYFUNCTION("""COMPUTED_VALUE"""),45761.66666666667)</f>
        <v>45761.66667</v>
      </c>
      <c r="C37" s="2">
        <f>IFERROR(__xludf.DUMMYFUNCTION("""COMPUTED_VALUE"""),100.88)</f>
        <v>100.88</v>
      </c>
      <c r="D37" s="2">
        <f t="shared" si="1"/>
        <v>-0.009231978</v>
      </c>
    </row>
    <row r="38">
      <c r="A38" s="1" t="s">
        <v>2</v>
      </c>
      <c r="B38" s="3">
        <f>IFERROR(__xludf.DUMMYFUNCTION("""COMPUTED_VALUE"""),45762.66666666667)</f>
        <v>45762.66667</v>
      </c>
      <c r="C38" s="2">
        <f>IFERROR(__xludf.DUMMYFUNCTION("""COMPUTED_VALUE"""),100.21)</f>
        <v>100.21</v>
      </c>
      <c r="D38" s="2">
        <f t="shared" si="1"/>
        <v>-0.006641554322</v>
      </c>
    </row>
    <row r="39">
      <c r="A39" s="1" t="s">
        <v>2</v>
      </c>
      <c r="B39" s="3">
        <f>IFERROR(__xludf.DUMMYFUNCTION("""COMPUTED_VALUE"""),45763.66666666667)</f>
        <v>45763.66667</v>
      </c>
      <c r="C39" s="2">
        <f>IFERROR(__xludf.DUMMYFUNCTION("""COMPUTED_VALUE"""),99.97)</f>
        <v>99.97</v>
      </c>
      <c r="D39" s="2">
        <f t="shared" si="1"/>
        <v>-0.002394970562</v>
      </c>
    </row>
    <row r="40">
      <c r="A40" s="1" t="s">
        <v>2</v>
      </c>
      <c r="B40" s="3">
        <f>IFERROR(__xludf.DUMMYFUNCTION("""COMPUTED_VALUE"""),45764.66666666667)</f>
        <v>45764.66667</v>
      </c>
      <c r="C40" s="2">
        <f>IFERROR(__xludf.DUMMYFUNCTION("""COMPUTED_VALUE"""),97.93)</f>
        <v>97.93</v>
      </c>
      <c r="D40" s="2">
        <f t="shared" si="1"/>
        <v>-0.02040612184</v>
      </c>
    </row>
    <row r="41">
      <c r="A41" s="1" t="s">
        <v>2</v>
      </c>
      <c r="B41" s="3">
        <f>IFERROR(__xludf.DUMMYFUNCTION("""COMPUTED_VALUE"""),45768.66666666667)</f>
        <v>45768.66667</v>
      </c>
      <c r="C41" s="2">
        <f>IFERROR(__xludf.DUMMYFUNCTION("""COMPUTED_VALUE"""),92.46)</f>
        <v>92.46</v>
      </c>
      <c r="D41" s="2">
        <f t="shared" si="1"/>
        <v>-0.05585622383</v>
      </c>
    </row>
    <row r="42">
      <c r="A42" s="1" t="s">
        <v>2</v>
      </c>
      <c r="B42" s="3">
        <f>IFERROR(__xludf.DUMMYFUNCTION("""COMPUTED_VALUE"""),45769.66666666667)</f>
        <v>45769.66667</v>
      </c>
      <c r="C42" s="2">
        <f>IFERROR(__xludf.DUMMYFUNCTION("""COMPUTED_VALUE"""),94.33)</f>
        <v>94.33</v>
      </c>
      <c r="D42" s="2">
        <f t="shared" si="1"/>
        <v>0.02022496215</v>
      </c>
    </row>
    <row r="43">
      <c r="A43" s="1" t="s">
        <v>2</v>
      </c>
      <c r="B43" s="3">
        <f>IFERROR(__xludf.DUMMYFUNCTION("""COMPUTED_VALUE"""),45770.66666666667)</f>
        <v>45770.66667</v>
      </c>
      <c r="C43" s="2">
        <f>IFERROR(__xludf.DUMMYFUNCTION("""COMPUTED_VALUE"""),98.33)</f>
        <v>98.33</v>
      </c>
      <c r="D43" s="2">
        <f t="shared" si="1"/>
        <v>0.04240432524</v>
      </c>
    </row>
    <row r="44">
      <c r="A44" s="1" t="s">
        <v>2</v>
      </c>
      <c r="B44" s="3">
        <f>IFERROR(__xludf.DUMMYFUNCTION("""COMPUTED_VALUE"""),45771.66666666667)</f>
        <v>45771.66667</v>
      </c>
      <c r="C44" s="2">
        <f>IFERROR(__xludf.DUMMYFUNCTION("""COMPUTED_VALUE"""),101.54)</f>
        <v>101.54</v>
      </c>
      <c r="D44" s="2">
        <f t="shared" si="1"/>
        <v>0.03264517441</v>
      </c>
    </row>
    <row r="45">
      <c r="A45" s="1" t="s">
        <v>2</v>
      </c>
      <c r="B45" s="3">
        <f>IFERROR(__xludf.DUMMYFUNCTION("""COMPUTED_VALUE"""),45772.66666666667)</f>
        <v>45772.66667</v>
      </c>
      <c r="C45" s="2">
        <f>IFERROR(__xludf.DUMMYFUNCTION("""COMPUTED_VALUE"""),103.38)</f>
        <v>103.38</v>
      </c>
      <c r="D45" s="2">
        <f t="shared" si="1"/>
        <v>0.01812093756</v>
      </c>
    </row>
    <row r="46">
      <c r="A46" s="1" t="s">
        <v>2</v>
      </c>
      <c r="B46" s="3">
        <f>IFERROR(__xludf.DUMMYFUNCTION("""COMPUTED_VALUE"""),45775.66666666667)</f>
        <v>45775.66667</v>
      </c>
      <c r="C46" s="2">
        <f>IFERROR(__xludf.DUMMYFUNCTION("""COMPUTED_VALUE"""),104.79)</f>
        <v>104.79</v>
      </c>
      <c r="D46" s="2">
        <f t="shared" si="1"/>
        <v>0.01363900174</v>
      </c>
    </row>
    <row r="47">
      <c r="A47" s="1" t="s">
        <v>2</v>
      </c>
      <c r="B47" s="3">
        <f>IFERROR(__xludf.DUMMYFUNCTION("""COMPUTED_VALUE"""),45776.66666666667)</f>
        <v>45776.66667</v>
      </c>
      <c r="C47" s="2">
        <f>IFERROR(__xludf.DUMMYFUNCTION("""COMPUTED_VALUE"""),112.54)</f>
        <v>112.54</v>
      </c>
      <c r="D47" s="2">
        <f t="shared" si="1"/>
        <v>0.07395743869</v>
      </c>
    </row>
    <row r="48">
      <c r="A48" s="1" t="s">
        <v>2</v>
      </c>
      <c r="B48" s="3">
        <f>IFERROR(__xludf.DUMMYFUNCTION("""COMPUTED_VALUE"""),45777.66666666667)</f>
        <v>45777.66667</v>
      </c>
      <c r="C48" s="2">
        <f>IFERROR(__xludf.DUMMYFUNCTION("""COMPUTED_VALUE"""),112.16)</f>
        <v>112.16</v>
      </c>
      <c r="D48" s="2">
        <f t="shared" si="1"/>
        <v>-0.003376577217</v>
      </c>
    </row>
    <row r="49">
      <c r="A49" s="1" t="s">
        <v>2</v>
      </c>
      <c r="B49" s="3">
        <f>IFERROR(__xludf.DUMMYFUNCTION("""COMPUTED_VALUE"""),45778.66666666667)</f>
        <v>45778.66667</v>
      </c>
      <c r="C49" s="2">
        <f>IFERROR(__xludf.DUMMYFUNCTION("""COMPUTED_VALUE"""),111.86)</f>
        <v>111.86</v>
      </c>
      <c r="D49" s="2">
        <f t="shared" si="1"/>
        <v>-0.002674750357</v>
      </c>
    </row>
    <row r="50">
      <c r="A50" s="1" t="s">
        <v>2</v>
      </c>
      <c r="B50" s="3">
        <f>IFERROR(__xludf.DUMMYFUNCTION("""COMPUTED_VALUE"""),45779.66666666667)</f>
        <v>45779.66667</v>
      </c>
      <c r="C50" s="2">
        <f>IFERROR(__xludf.DUMMYFUNCTION("""COMPUTED_VALUE"""),112.9)</f>
        <v>112.9</v>
      </c>
      <c r="D50" s="2">
        <f t="shared" si="1"/>
        <v>0.009297335956</v>
      </c>
    </row>
    <row r="51">
      <c r="A51" s="1" t="s">
        <v>2</v>
      </c>
      <c r="B51" s="3">
        <f>IFERROR(__xludf.DUMMYFUNCTION("""COMPUTED_VALUE"""),45782.66666666667)</f>
        <v>45782.66667</v>
      </c>
      <c r="C51" s="2">
        <f>IFERROR(__xludf.DUMMYFUNCTION("""COMPUTED_VALUE"""),115.71)</f>
        <v>115.71</v>
      </c>
      <c r="D51" s="2">
        <f t="shared" si="1"/>
        <v>0.02488928255</v>
      </c>
    </row>
    <row r="52">
      <c r="A52" s="1" t="s">
        <v>2</v>
      </c>
      <c r="B52" s="3">
        <f>IFERROR(__xludf.DUMMYFUNCTION("""COMPUTED_VALUE"""),45783.66666666667)</f>
        <v>45783.66667</v>
      </c>
      <c r="C52" s="2">
        <f>IFERROR(__xludf.DUMMYFUNCTION("""COMPUTED_VALUE"""),117.07)</f>
        <v>117.07</v>
      </c>
      <c r="D52" s="2">
        <f t="shared" si="1"/>
        <v>0.01175352174</v>
      </c>
    </row>
    <row r="53">
      <c r="A53" s="1" t="s">
        <v>2</v>
      </c>
      <c r="B53" s="3">
        <f>IFERROR(__xludf.DUMMYFUNCTION("""COMPUTED_VALUE"""),45784.66666666667)</f>
        <v>45784.66667</v>
      </c>
      <c r="C53" s="2">
        <f>IFERROR(__xludf.DUMMYFUNCTION("""COMPUTED_VALUE"""),118.03)</f>
        <v>118.03</v>
      </c>
      <c r="D53" s="2">
        <f t="shared" si="1"/>
        <v>0.008200222089</v>
      </c>
    </row>
    <row r="54">
      <c r="A54" s="1" t="s">
        <v>2</v>
      </c>
      <c r="B54" s="3">
        <f>IFERROR(__xludf.DUMMYFUNCTION("""COMPUTED_VALUE"""),45785.66666666667)</f>
        <v>45785.66667</v>
      </c>
      <c r="C54" s="2">
        <f>IFERROR(__xludf.DUMMYFUNCTION("""COMPUTED_VALUE"""),120.75)</f>
        <v>120.75</v>
      </c>
      <c r="D54" s="2">
        <f t="shared" si="1"/>
        <v>0.02304498856</v>
      </c>
    </row>
    <row r="55">
      <c r="A55" s="1" t="s">
        <v>2</v>
      </c>
      <c r="B55" s="3">
        <f>IFERROR(__xludf.DUMMYFUNCTION("""COMPUTED_VALUE"""),45786.66666666667)</f>
        <v>45786.66667</v>
      </c>
      <c r="C55" s="2">
        <f>IFERROR(__xludf.DUMMYFUNCTION("""COMPUTED_VALUE"""),119.45)</f>
        <v>119.45</v>
      </c>
      <c r="D55" s="2">
        <f t="shared" si="1"/>
        <v>-0.01076604555</v>
      </c>
    </row>
    <row r="56">
      <c r="A56" s="1" t="s">
        <v>2</v>
      </c>
      <c r="B56" s="3">
        <f>IFERROR(__xludf.DUMMYFUNCTION("""COMPUTED_VALUE"""),45789.66666666667)</f>
        <v>45789.66667</v>
      </c>
      <c r="C56" s="2">
        <f>IFERROR(__xludf.DUMMYFUNCTION("""COMPUTED_VALUE"""),124.17)</f>
        <v>124.17</v>
      </c>
      <c r="D56" s="2">
        <f t="shared" si="1"/>
        <v>0.03951444119</v>
      </c>
    </row>
    <row r="57">
      <c r="A57" s="1" t="s">
        <v>2</v>
      </c>
      <c r="B57" s="3">
        <f>IFERROR(__xludf.DUMMYFUNCTION("""COMPUTED_VALUE"""),45790.66666666667)</f>
        <v>45790.66667</v>
      </c>
      <c r="C57" s="2">
        <f>IFERROR(__xludf.DUMMYFUNCTION("""COMPUTED_VALUE"""),124.05)</f>
        <v>124.05</v>
      </c>
      <c r="D57" s="2">
        <f t="shared" si="1"/>
        <v>-0.0009664170089</v>
      </c>
    </row>
    <row r="58">
      <c r="A58" s="1" t="s">
        <v>2</v>
      </c>
      <c r="B58" s="3">
        <f>IFERROR(__xludf.DUMMYFUNCTION("""COMPUTED_VALUE"""),45791.66666666667)</f>
        <v>45791.66667</v>
      </c>
      <c r="C58" s="2">
        <f>IFERROR(__xludf.DUMMYFUNCTION("""COMPUTED_VALUE"""),123.34)</f>
        <v>123.34</v>
      </c>
      <c r="D58" s="2">
        <f t="shared" si="1"/>
        <v>-0.005723498589</v>
      </c>
    </row>
    <row r="59">
      <c r="A59" s="1" t="s">
        <v>2</v>
      </c>
      <c r="B59" s="3">
        <f>IFERROR(__xludf.DUMMYFUNCTION("""COMPUTED_VALUE"""),45792.66666666667)</f>
        <v>45792.66667</v>
      </c>
      <c r="C59" s="2">
        <f>IFERROR(__xludf.DUMMYFUNCTION("""COMPUTED_VALUE"""),124.39)</f>
        <v>124.39</v>
      </c>
      <c r="D59" s="2">
        <f t="shared" si="1"/>
        <v>0.008513053348</v>
      </c>
    </row>
    <row r="60">
      <c r="A60" s="1" t="s">
        <v>2</v>
      </c>
      <c r="B60" s="3">
        <f>IFERROR(__xludf.DUMMYFUNCTION("""COMPUTED_VALUE"""),45793.66666666667)</f>
        <v>45793.66667</v>
      </c>
      <c r="C60" s="2">
        <f>IFERROR(__xludf.DUMMYFUNCTION("""COMPUTED_VALUE"""),127.3)</f>
        <v>127.3</v>
      </c>
      <c r="D60" s="2">
        <f t="shared" si="1"/>
        <v>0.02339416352</v>
      </c>
    </row>
    <row r="61">
      <c r="A61" s="1" t="s">
        <v>2</v>
      </c>
      <c r="B61" s="3">
        <f>IFERROR(__xludf.DUMMYFUNCTION("""COMPUTED_VALUE"""),45796.66666666667)</f>
        <v>45796.66667</v>
      </c>
      <c r="C61" s="2">
        <f>IFERROR(__xludf.DUMMYFUNCTION("""COMPUTED_VALUE"""),126.44)</f>
        <v>126.44</v>
      </c>
      <c r="D61" s="2">
        <f t="shared" si="1"/>
        <v>-0.006755695208</v>
      </c>
    </row>
    <row r="62">
      <c r="A62" s="1" t="s">
        <v>2</v>
      </c>
      <c r="B62" s="3">
        <f>IFERROR(__xludf.DUMMYFUNCTION("""COMPUTED_VALUE"""),45797.66666666667)</f>
        <v>45797.66667</v>
      </c>
      <c r="C62" s="2">
        <f>IFERROR(__xludf.DUMMYFUNCTION("""COMPUTED_VALUE"""),125.54)</f>
        <v>125.54</v>
      </c>
      <c r="D62" s="2">
        <f t="shared" si="1"/>
        <v>-0.007118000633</v>
      </c>
    </row>
    <row r="63">
      <c r="A63" s="1" t="s">
        <v>2</v>
      </c>
      <c r="B63" s="3">
        <f>IFERROR(__xludf.DUMMYFUNCTION("""COMPUTED_VALUE"""),45798.66666666667)</f>
        <v>45798.66667</v>
      </c>
      <c r="C63" s="2">
        <f>IFERROR(__xludf.DUMMYFUNCTION("""COMPUTED_VALUE"""),122.06)</f>
        <v>122.06</v>
      </c>
      <c r="D63" s="2">
        <f t="shared" si="1"/>
        <v>-0.02772024853</v>
      </c>
    </row>
    <row r="64">
      <c r="A64" s="1" t="s">
        <v>2</v>
      </c>
      <c r="B64" s="3">
        <f>IFERROR(__xludf.DUMMYFUNCTION("""COMPUTED_VALUE"""),45799.66666666667)</f>
        <v>45799.66667</v>
      </c>
      <c r="C64" s="2">
        <f>IFERROR(__xludf.DUMMYFUNCTION("""COMPUTED_VALUE"""),122.06)</f>
        <v>122.06</v>
      </c>
      <c r="D64" s="2">
        <f t="shared" si="1"/>
        <v>0</v>
      </c>
    </row>
    <row r="65">
      <c r="A65" s="1" t="s">
        <v>2</v>
      </c>
      <c r="B65" s="3">
        <f>IFERROR(__xludf.DUMMYFUNCTION("""COMPUTED_VALUE"""),45800.66666666667)</f>
        <v>45800.66667</v>
      </c>
      <c r="C65" s="2">
        <f>IFERROR(__xludf.DUMMYFUNCTION("""COMPUTED_VALUE"""),123.72)</f>
        <v>123.72</v>
      </c>
      <c r="D65" s="2">
        <f t="shared" si="1"/>
        <v>0.01359986892</v>
      </c>
    </row>
    <row r="66">
      <c r="A66" s="1" t="s">
        <v>2</v>
      </c>
      <c r="B66" s="3">
        <f>IFERROR(__xludf.DUMMYFUNCTION("""COMPUTED_VALUE"""),45804.66666666667)</f>
        <v>45804.66667</v>
      </c>
      <c r="C66" s="2">
        <f>IFERROR(__xludf.DUMMYFUNCTION("""COMPUTED_VALUE"""),125.5)</f>
        <v>125.5</v>
      </c>
      <c r="D66" s="2">
        <f t="shared" si="1"/>
        <v>0.01438732622</v>
      </c>
    </row>
    <row r="67">
      <c r="A67" s="1" t="s">
        <v>2</v>
      </c>
      <c r="B67" s="3">
        <f>IFERROR(__xludf.DUMMYFUNCTION("""COMPUTED_VALUE"""),45805.66666666667)</f>
        <v>45805.66667</v>
      </c>
      <c r="C67" s="2">
        <f>IFERROR(__xludf.DUMMYFUNCTION("""COMPUTED_VALUE"""),105.23)</f>
        <v>105.23</v>
      </c>
      <c r="D67" s="2">
        <f t="shared" si="1"/>
        <v>-0.1615139442</v>
      </c>
    </row>
    <row r="68">
      <c r="A68" s="1" t="s">
        <v>2</v>
      </c>
      <c r="B68" s="3">
        <f>IFERROR(__xludf.DUMMYFUNCTION("""COMPUTED_VALUE"""),45806.66666666667)</f>
        <v>45806.66667</v>
      </c>
      <c r="C68" s="2">
        <f>IFERROR(__xludf.DUMMYFUNCTION("""COMPUTED_VALUE"""),106.63)</f>
        <v>106.63</v>
      </c>
      <c r="D68" s="2">
        <f t="shared" si="1"/>
        <v>0.01330419082</v>
      </c>
    </row>
    <row r="69">
      <c r="A69" s="1" t="s">
        <v>2</v>
      </c>
      <c r="B69" s="3">
        <f>IFERROR(__xludf.DUMMYFUNCTION("""COMPUTED_VALUE"""),45807.66666666667)</f>
        <v>45807.66667</v>
      </c>
      <c r="C69" s="2">
        <f>IFERROR(__xludf.DUMMYFUNCTION("""COMPUTED_VALUE"""),103.17)</f>
        <v>103.17</v>
      </c>
      <c r="D69" s="2">
        <f t="shared" si="1"/>
        <v>-0.03244865422</v>
      </c>
    </row>
    <row r="70">
      <c r="A70" s="1" t="s">
        <v>2</v>
      </c>
      <c r="B70" s="3">
        <f>IFERROR(__xludf.DUMMYFUNCTION("""COMPUTED_VALUE"""),45810.66666666667)</f>
        <v>45810.66667</v>
      </c>
      <c r="C70" s="2">
        <f>IFERROR(__xludf.DUMMYFUNCTION("""COMPUTED_VALUE"""),104.73)</f>
        <v>104.73</v>
      </c>
      <c r="D70" s="2">
        <f t="shared" si="1"/>
        <v>0.01512067461</v>
      </c>
    </row>
    <row r="71">
      <c r="A71" s="1" t="s">
        <v>2</v>
      </c>
      <c r="B71" s="3">
        <f>IFERROR(__xludf.DUMMYFUNCTION("""COMPUTED_VALUE"""),45811.66666666667)</f>
        <v>45811.66667</v>
      </c>
      <c r="C71" s="2">
        <f>IFERROR(__xludf.DUMMYFUNCTION("""COMPUTED_VALUE"""),103.58)</f>
        <v>103.58</v>
      </c>
      <c r="D71" s="2">
        <f t="shared" si="1"/>
        <v>-0.01098061682</v>
      </c>
    </row>
    <row r="72">
      <c r="A72" s="1" t="s">
        <v>2</v>
      </c>
      <c r="B72" s="3">
        <f>IFERROR(__xludf.DUMMYFUNCTION("""COMPUTED_VALUE"""),45812.66666666667)</f>
        <v>45812.66667</v>
      </c>
      <c r="C72" s="2">
        <f>IFERROR(__xludf.DUMMYFUNCTION("""COMPUTED_VALUE"""),105.6)</f>
        <v>105.6</v>
      </c>
      <c r="D72" s="2">
        <f t="shared" si="1"/>
        <v>0.01950183433</v>
      </c>
    </row>
    <row r="73">
      <c r="A73" s="1" t="s">
        <v>2</v>
      </c>
      <c r="B73" s="3">
        <f>IFERROR(__xludf.DUMMYFUNCTION("""COMPUTED_VALUE"""),45813.66666666667)</f>
        <v>45813.66667</v>
      </c>
      <c r="C73" s="2">
        <f>IFERROR(__xludf.DUMMYFUNCTION("""COMPUTED_VALUE"""),104.18)</f>
        <v>104.18</v>
      </c>
      <c r="D73" s="2">
        <f t="shared" si="1"/>
        <v>-0.0134469697</v>
      </c>
    </row>
    <row r="74">
      <c r="A74" s="1" t="s">
        <v>2</v>
      </c>
      <c r="B74" s="3">
        <f>IFERROR(__xludf.DUMMYFUNCTION("""COMPUTED_VALUE"""),45814.66666666667)</f>
        <v>45814.66667</v>
      </c>
      <c r="C74" s="2">
        <f>IFERROR(__xludf.DUMMYFUNCTION("""COMPUTED_VALUE"""),105.08)</f>
        <v>105.08</v>
      </c>
      <c r="D74" s="2">
        <f t="shared" si="1"/>
        <v>0.008638894222</v>
      </c>
    </row>
    <row r="75">
      <c r="A75" s="1" t="s">
        <v>2</v>
      </c>
      <c r="B75" s="3">
        <f>IFERROR(__xludf.DUMMYFUNCTION("""COMPUTED_VALUE"""),45817.66666666667)</f>
        <v>45817.66667</v>
      </c>
      <c r="C75" s="2">
        <f>IFERROR(__xludf.DUMMYFUNCTION("""COMPUTED_VALUE"""),101.2)</f>
        <v>101.2</v>
      </c>
      <c r="D75" s="2">
        <f t="shared" si="1"/>
        <v>-0.03692424819</v>
      </c>
    </row>
    <row r="76">
      <c r="A76" s="1" t="s">
        <v>2</v>
      </c>
      <c r="B76" s="3">
        <f>IFERROR(__xludf.DUMMYFUNCTION("""COMPUTED_VALUE"""),45818.66666666667)</f>
        <v>45818.66667</v>
      </c>
      <c r="C76" s="2">
        <f>IFERROR(__xludf.DUMMYFUNCTION("""COMPUTED_VALUE"""),100.78)</f>
        <v>100.78</v>
      </c>
      <c r="D76" s="2">
        <f t="shared" si="1"/>
        <v>-0.004150197628</v>
      </c>
    </row>
    <row r="77">
      <c r="A77" s="1" t="s">
        <v>2</v>
      </c>
      <c r="B77" s="3">
        <f>IFERROR(__xludf.DUMMYFUNCTION("""COMPUTED_VALUE"""),45819.66666666667)</f>
        <v>45819.66667</v>
      </c>
      <c r="C77" s="2">
        <f>IFERROR(__xludf.DUMMYFUNCTION("""COMPUTED_VALUE"""),100.44)</f>
        <v>100.44</v>
      </c>
      <c r="D77" s="2">
        <f t="shared" si="1"/>
        <v>-0.003373685255</v>
      </c>
    </row>
    <row r="78">
      <c r="A78" s="1" t="s">
        <v>2</v>
      </c>
      <c r="B78" s="3">
        <f>IFERROR(__xludf.DUMMYFUNCTION("""COMPUTED_VALUE"""),45820.66666666667)</f>
        <v>45820.66667</v>
      </c>
      <c r="C78" s="2">
        <f>IFERROR(__xludf.DUMMYFUNCTION("""COMPUTED_VALUE"""),100.18)</f>
        <v>100.18</v>
      </c>
      <c r="D78" s="2">
        <f t="shared" si="1"/>
        <v>-0.002588610115</v>
      </c>
    </row>
    <row r="79">
      <c r="A79" s="1" t="s">
        <v>2</v>
      </c>
      <c r="B79" s="3">
        <f>IFERROR(__xludf.DUMMYFUNCTION("""COMPUTED_VALUE"""),45821.66666666667)</f>
        <v>45821.66667</v>
      </c>
      <c r="C79" s="2">
        <f>IFERROR(__xludf.DUMMYFUNCTION("""COMPUTED_VALUE"""),97.48)</f>
        <v>97.48</v>
      </c>
      <c r="D79" s="2">
        <f t="shared" si="1"/>
        <v>-0.02695148732</v>
      </c>
    </row>
    <row r="80">
      <c r="A80" s="1" t="s">
        <v>2</v>
      </c>
      <c r="B80" s="3">
        <f>IFERROR(__xludf.DUMMYFUNCTION("""COMPUTED_VALUE"""),45824.66666666667)</f>
        <v>45824.66667</v>
      </c>
      <c r="C80" s="2">
        <f>IFERROR(__xludf.DUMMYFUNCTION("""COMPUTED_VALUE"""),99.28)</f>
        <v>99.28</v>
      </c>
      <c r="D80" s="2">
        <f t="shared" si="1"/>
        <v>0.01846532622</v>
      </c>
    </row>
    <row r="81">
      <c r="A81" s="1" t="s">
        <v>2</v>
      </c>
      <c r="B81" s="3">
        <f>IFERROR(__xludf.DUMMYFUNCTION("""COMPUTED_VALUE"""),45825.66666666667)</f>
        <v>45825.66667</v>
      </c>
      <c r="C81" s="2">
        <f>IFERROR(__xludf.DUMMYFUNCTION("""COMPUTED_VALUE"""),98.67)</f>
        <v>98.67</v>
      </c>
      <c r="D81" s="2">
        <f t="shared" si="1"/>
        <v>-0.006144238517</v>
      </c>
    </row>
    <row r="82">
      <c r="A82" s="1" t="s">
        <v>2</v>
      </c>
      <c r="B82" s="3">
        <f>IFERROR(__xludf.DUMMYFUNCTION("""COMPUTED_VALUE"""),45826.66666666667)</f>
        <v>45826.66667</v>
      </c>
      <c r="C82" s="2">
        <f>IFERROR(__xludf.DUMMYFUNCTION("""COMPUTED_VALUE"""),99.0)</f>
        <v>99</v>
      </c>
      <c r="D82" s="2">
        <f t="shared" si="1"/>
        <v>0.003344481605</v>
      </c>
    </row>
    <row r="83">
      <c r="A83" s="1" t="s">
        <v>2</v>
      </c>
      <c r="B83" s="3">
        <f>IFERROR(__xludf.DUMMYFUNCTION("""COMPUTED_VALUE"""),45828.66666666667)</f>
        <v>45828.66667</v>
      </c>
      <c r="C83" s="2">
        <f>IFERROR(__xludf.DUMMYFUNCTION("""COMPUTED_VALUE"""),99.42)</f>
        <v>99.42</v>
      </c>
      <c r="D83" s="2">
        <f t="shared" si="1"/>
        <v>0.004242424242</v>
      </c>
    </row>
    <row r="84">
      <c r="A84" s="1" t="s">
        <v>2</v>
      </c>
      <c r="B84" s="3">
        <f>IFERROR(__xludf.DUMMYFUNCTION("""COMPUTED_VALUE"""),45831.66666666667)</f>
        <v>45831.66667</v>
      </c>
      <c r="C84" s="2">
        <f>IFERROR(__xludf.DUMMYFUNCTION("""COMPUTED_VALUE"""),98.66)</f>
        <v>98.66</v>
      </c>
      <c r="D84" s="2">
        <f t="shared" si="1"/>
        <v>-0.007644337156</v>
      </c>
    </row>
    <row r="85">
      <c r="A85" s="1" t="s">
        <v>2</v>
      </c>
      <c r="B85" s="3">
        <f>IFERROR(__xludf.DUMMYFUNCTION("""COMPUTED_VALUE"""),45832.66666666667)</f>
        <v>45832.66667</v>
      </c>
      <c r="C85" s="2">
        <f>IFERROR(__xludf.DUMMYFUNCTION("""COMPUTED_VALUE"""),98.53)</f>
        <v>98.53</v>
      </c>
      <c r="D85" s="2">
        <f t="shared" si="1"/>
        <v>-0.001317656598</v>
      </c>
    </row>
    <row r="86">
      <c r="A86" s="1" t="s">
        <v>2</v>
      </c>
      <c r="B86" s="3">
        <f>IFERROR(__xludf.DUMMYFUNCTION("""COMPUTED_VALUE"""),45833.66666666667)</f>
        <v>45833.66667</v>
      </c>
      <c r="C86" s="2">
        <f>IFERROR(__xludf.DUMMYFUNCTION("""COMPUTED_VALUE"""),98.21)</f>
        <v>98.21</v>
      </c>
      <c r="D86" s="2">
        <f t="shared" si="1"/>
        <v>-0.003247741805</v>
      </c>
    </row>
    <row r="87">
      <c r="A87" s="1" t="s">
        <v>2</v>
      </c>
      <c r="B87" s="3">
        <f>IFERROR(__xludf.DUMMYFUNCTION("""COMPUTED_VALUE"""),45834.66666666667)</f>
        <v>45834.66667</v>
      </c>
      <c r="C87" s="2">
        <f>IFERROR(__xludf.DUMMYFUNCTION("""COMPUTED_VALUE"""),98.13)</f>
        <v>98.13</v>
      </c>
      <c r="D87" s="2">
        <f t="shared" si="1"/>
        <v>-0.0008145809999</v>
      </c>
    </row>
    <row r="88">
      <c r="A88" s="1" t="s">
        <v>2</v>
      </c>
      <c r="B88" s="3">
        <f>IFERROR(__xludf.DUMMYFUNCTION("""COMPUTED_VALUE"""),45835.66666666667)</f>
        <v>45835.66667</v>
      </c>
      <c r="C88" s="2">
        <f>IFERROR(__xludf.DUMMYFUNCTION("""COMPUTED_VALUE"""),98.43)</f>
        <v>98.43</v>
      </c>
      <c r="D88" s="2">
        <f t="shared" si="1"/>
        <v>0.003057169061</v>
      </c>
    </row>
    <row r="89">
      <c r="A89" s="1" t="s">
        <v>2</v>
      </c>
      <c r="B89" s="3">
        <f>IFERROR(__xludf.DUMMYFUNCTION("""COMPUTED_VALUE"""),45838.66666666667)</f>
        <v>45838.66667</v>
      </c>
      <c r="C89" s="2">
        <f>IFERROR(__xludf.DUMMYFUNCTION("""COMPUTED_VALUE"""),99.97)</f>
        <v>99.97</v>
      </c>
      <c r="D89" s="2">
        <f t="shared" si="1"/>
        <v>0.01564563649</v>
      </c>
    </row>
    <row r="90">
      <c r="A90" s="1" t="s">
        <v>2</v>
      </c>
      <c r="B90" s="3">
        <f>IFERROR(__xludf.DUMMYFUNCTION("""COMPUTED_VALUE"""),45839.66666666667)</f>
        <v>45839.66667</v>
      </c>
      <c r="C90" s="2">
        <f>IFERROR(__xludf.DUMMYFUNCTION("""COMPUTED_VALUE"""),98.55)</f>
        <v>98.55</v>
      </c>
      <c r="D90" s="2">
        <f t="shared" si="1"/>
        <v>-0.01420426128</v>
      </c>
    </row>
    <row r="91">
      <c r="A91" s="1" t="s">
        <v>2</v>
      </c>
      <c r="B91" s="3">
        <f>IFERROR(__xludf.DUMMYFUNCTION("""COMPUTED_VALUE"""),45840.66666666667)</f>
        <v>45840.66667</v>
      </c>
      <c r="C91" s="2">
        <f>IFERROR(__xludf.DUMMYFUNCTION("""COMPUTED_VALUE"""),98.14)</f>
        <v>98.14</v>
      </c>
      <c r="D91" s="2">
        <f t="shared" si="1"/>
        <v>-0.004160324708</v>
      </c>
    </row>
    <row r="92">
      <c r="A92" s="1" t="s">
        <v>2</v>
      </c>
      <c r="B92" s="3">
        <f>IFERROR(__xludf.DUMMYFUNCTION("""COMPUTED_VALUE"""),45841.54513888889)</f>
        <v>45841.54514</v>
      </c>
      <c r="C92" s="2">
        <f>IFERROR(__xludf.DUMMYFUNCTION("""COMPUTED_VALUE"""),99.11)</f>
        <v>99.11</v>
      </c>
      <c r="D92" s="2">
        <f t="shared" si="1"/>
        <v>0.009883839413</v>
      </c>
    </row>
    <row r="93">
      <c r="A93" s="1" t="s">
        <v>2</v>
      </c>
      <c r="B93" s="3">
        <f>IFERROR(__xludf.DUMMYFUNCTION("""COMPUTED_VALUE"""),45845.66666666667)</f>
        <v>45845.66667</v>
      </c>
      <c r="C93" s="2">
        <f>IFERROR(__xludf.DUMMYFUNCTION("""COMPUTED_VALUE"""),97.4)</f>
        <v>97.4</v>
      </c>
      <c r="D93" s="2">
        <f t="shared" si="1"/>
        <v>-0.01725355665</v>
      </c>
    </row>
    <row r="94">
      <c r="A94" s="1" t="s">
        <v>2</v>
      </c>
      <c r="B94" s="3">
        <f>IFERROR(__xludf.DUMMYFUNCTION("""COMPUTED_VALUE"""),45846.66666666667)</f>
        <v>45846.66667</v>
      </c>
      <c r="C94" s="2">
        <f>IFERROR(__xludf.DUMMYFUNCTION("""COMPUTED_VALUE"""),97.53)</f>
        <v>97.53</v>
      </c>
      <c r="D94" s="2">
        <f t="shared" si="1"/>
        <v>0.001334702259</v>
      </c>
    </row>
    <row r="95">
      <c r="A95" s="1" t="s">
        <v>2</v>
      </c>
      <c r="B95" s="3">
        <f>IFERROR(__xludf.DUMMYFUNCTION("""COMPUTED_VALUE"""),45847.66666666667)</f>
        <v>45847.66667</v>
      </c>
      <c r="C95" s="2">
        <f>IFERROR(__xludf.DUMMYFUNCTION("""COMPUTED_VALUE"""),99.15)</f>
        <v>99.15</v>
      </c>
      <c r="D95" s="2">
        <f t="shared" si="1"/>
        <v>0.01661027376</v>
      </c>
    </row>
    <row r="96">
      <c r="A96" s="1" t="s">
        <v>2</v>
      </c>
      <c r="B96" s="3">
        <f>IFERROR(__xludf.DUMMYFUNCTION("""COMPUTED_VALUE"""),45848.66666666667)</f>
        <v>45848.66667</v>
      </c>
      <c r="C96" s="2">
        <f>IFERROR(__xludf.DUMMYFUNCTION("""COMPUTED_VALUE"""),94.41)</f>
        <v>94.41</v>
      </c>
      <c r="D96" s="2">
        <f t="shared" si="1"/>
        <v>-0.04780635401</v>
      </c>
    </row>
    <row r="97">
      <c r="A97" s="1" t="s">
        <v>2</v>
      </c>
      <c r="B97" s="3">
        <f>IFERROR(__xludf.DUMMYFUNCTION("""COMPUTED_VALUE"""),45849.66666666667)</f>
        <v>45849.66667</v>
      </c>
      <c r="C97" s="2">
        <f>IFERROR(__xludf.DUMMYFUNCTION("""COMPUTED_VALUE"""),91.56)</f>
        <v>91.56</v>
      </c>
      <c r="D97" s="2">
        <f t="shared" si="1"/>
        <v>-0.03018748014</v>
      </c>
    </row>
    <row r="98">
      <c r="A98" s="1" t="s">
        <v>2</v>
      </c>
      <c r="B98" s="3">
        <f>IFERROR(__xludf.DUMMYFUNCTION("""COMPUTED_VALUE"""),45852.66666666667)</f>
        <v>45852.66667</v>
      </c>
      <c r="C98" s="2">
        <f>IFERROR(__xludf.DUMMYFUNCTION("""COMPUTED_VALUE"""),91.97)</f>
        <v>91.97</v>
      </c>
      <c r="D98" s="2">
        <f t="shared" si="1"/>
        <v>0.004477937964</v>
      </c>
    </row>
    <row r="99">
      <c r="A99" s="1" t="s">
        <v>2</v>
      </c>
      <c r="B99" s="3">
        <f>IFERROR(__xludf.DUMMYFUNCTION("""COMPUTED_VALUE"""),45853.66666666667)</f>
        <v>45853.66667</v>
      </c>
      <c r="C99" s="2">
        <f>IFERROR(__xludf.DUMMYFUNCTION("""COMPUTED_VALUE"""),91.1)</f>
        <v>91.1</v>
      </c>
      <c r="D99" s="2">
        <f t="shared" si="1"/>
        <v>-0.009459606393</v>
      </c>
    </row>
    <row r="100">
      <c r="A100" s="1" t="s">
        <v>2</v>
      </c>
      <c r="B100" s="3">
        <f>IFERROR(__xludf.DUMMYFUNCTION("""COMPUTED_VALUE"""),45854.66666666667)</f>
        <v>45854.66667</v>
      </c>
      <c r="C100" s="2">
        <f>IFERROR(__xludf.DUMMYFUNCTION("""COMPUTED_VALUE"""),91.07)</f>
        <v>91.07</v>
      </c>
      <c r="D100" s="2">
        <f t="shared" si="1"/>
        <v>-0.0003293084523</v>
      </c>
    </row>
    <row r="101">
      <c r="A101" s="1" t="s">
        <v>2</v>
      </c>
      <c r="B101" s="3">
        <f>IFERROR(__xludf.DUMMYFUNCTION("""COMPUTED_VALUE"""),45855.66666666667)</f>
        <v>45855.66667</v>
      </c>
      <c r="C101" s="2">
        <f>IFERROR(__xludf.DUMMYFUNCTION("""COMPUTED_VALUE"""),92.1)</f>
        <v>92.1</v>
      </c>
      <c r="D101" s="2">
        <f t="shared" si="1"/>
        <v>0.01130998133</v>
      </c>
    </row>
    <row r="102">
      <c r="A102" s="1" t="s">
        <v>2</v>
      </c>
      <c r="B102" s="3">
        <f>IFERROR(__xludf.DUMMYFUNCTION("""COMPUTED_VALUE"""),45856.66666666667)</f>
        <v>45856.66667</v>
      </c>
      <c r="C102" s="2">
        <f>IFERROR(__xludf.DUMMYFUNCTION("""COMPUTED_VALUE"""),95.43)</f>
        <v>95.43</v>
      </c>
      <c r="D102" s="2">
        <f t="shared" si="1"/>
        <v>0.03615635179</v>
      </c>
    </row>
    <row r="103">
      <c r="A103" s="1" t="s">
        <v>2</v>
      </c>
      <c r="B103" s="3">
        <f>IFERROR(__xludf.DUMMYFUNCTION("""COMPUTED_VALUE"""),45859.66666666667)</f>
        <v>45859.66667</v>
      </c>
      <c r="C103" s="2">
        <f>IFERROR(__xludf.DUMMYFUNCTION("""COMPUTED_VALUE"""),95.86)</f>
        <v>95.86</v>
      </c>
      <c r="D103" s="2">
        <f t="shared" si="1"/>
        <v>0.00450592057</v>
      </c>
    </row>
    <row r="104">
      <c r="A104" s="1" t="s">
        <v>2</v>
      </c>
      <c r="B104" s="3">
        <f>IFERROR(__xludf.DUMMYFUNCTION("""COMPUTED_VALUE"""),45860.66666666667)</f>
        <v>45860.66667</v>
      </c>
      <c r="C104" s="2">
        <f>IFERROR(__xludf.DUMMYFUNCTION("""COMPUTED_VALUE"""),95.65)</f>
        <v>95.65</v>
      </c>
      <c r="D104" s="2">
        <f t="shared" si="1"/>
        <v>-0.002190694763</v>
      </c>
    </row>
    <row r="105">
      <c r="A105" s="1" t="s">
        <v>2</v>
      </c>
      <c r="B105" s="3">
        <f>IFERROR(__xludf.DUMMYFUNCTION("""COMPUTED_VALUE"""),45861.66666666667)</f>
        <v>45861.66667</v>
      </c>
      <c r="C105" s="2">
        <f>IFERROR(__xludf.DUMMYFUNCTION("""COMPUTED_VALUE"""),95.63)</f>
        <v>95.63</v>
      </c>
      <c r="D105" s="2">
        <f t="shared" si="1"/>
        <v>-0.0002090956613</v>
      </c>
    </row>
    <row r="106">
      <c r="A106" s="1" t="s">
        <v>2</v>
      </c>
      <c r="B106" s="3">
        <f>IFERROR(__xludf.DUMMYFUNCTION("""COMPUTED_VALUE"""),45862.66666666667)</f>
        <v>45862.66667</v>
      </c>
      <c r="C106" s="2">
        <f>IFERROR(__xludf.DUMMYFUNCTION("""COMPUTED_VALUE"""),97.89)</f>
        <v>97.89</v>
      </c>
      <c r="D106" s="2">
        <f t="shared" si="1"/>
        <v>0.02363275123</v>
      </c>
    </row>
    <row r="107">
      <c r="A107" s="1" t="s">
        <v>2</v>
      </c>
      <c r="B107" s="3">
        <f>IFERROR(__xludf.DUMMYFUNCTION("""COMPUTED_VALUE"""),45863.66666666667)</f>
        <v>45863.66667</v>
      </c>
      <c r="C107" s="2">
        <f>IFERROR(__xludf.DUMMYFUNCTION("""COMPUTED_VALUE"""),101.1)</f>
        <v>101.1</v>
      </c>
      <c r="D107" s="2">
        <f t="shared" si="1"/>
        <v>0.03279190929</v>
      </c>
    </row>
    <row r="108">
      <c r="A108" s="1" t="s">
        <v>2</v>
      </c>
      <c r="B108" s="3">
        <f>IFERROR(__xludf.DUMMYFUNCTION("""COMPUTED_VALUE"""),45866.66666666667)</f>
        <v>45866.66667</v>
      </c>
      <c r="C108" s="2">
        <f>IFERROR(__xludf.DUMMYFUNCTION("""COMPUTED_VALUE"""),97.84)</f>
        <v>97.84</v>
      </c>
      <c r="D108" s="2">
        <f t="shared" si="1"/>
        <v>-0.03224530168</v>
      </c>
    </row>
    <row r="109">
      <c r="A109" s="1" t="s">
        <v>2</v>
      </c>
      <c r="B109" s="3">
        <f>IFERROR(__xludf.DUMMYFUNCTION("""COMPUTED_VALUE"""),45867.66666666667)</f>
        <v>45867.66667</v>
      </c>
      <c r="C109" s="2">
        <f>IFERROR(__xludf.DUMMYFUNCTION("""COMPUTED_VALUE"""),98.99)</f>
        <v>98.99</v>
      </c>
      <c r="D109" s="2">
        <f t="shared" si="1"/>
        <v>0.01175388389</v>
      </c>
    </row>
    <row r="110">
      <c r="A110" s="1" t="s">
        <v>2</v>
      </c>
      <c r="B110" s="3">
        <f>IFERROR(__xludf.DUMMYFUNCTION("""COMPUTED_VALUE"""),45868.66666666667)</f>
        <v>45868.66667</v>
      </c>
      <c r="C110" s="2">
        <f>IFERROR(__xludf.DUMMYFUNCTION("""COMPUTED_VALUE"""),99.77)</f>
        <v>99.77</v>
      </c>
      <c r="D110" s="2">
        <f t="shared" si="1"/>
        <v>0.007879583796</v>
      </c>
    </row>
    <row r="111">
      <c r="A111" s="1" t="s">
        <v>2</v>
      </c>
      <c r="B111" s="3">
        <f>IFERROR(__xludf.DUMMYFUNCTION("""COMPUTED_VALUE"""),45869.66666666667)</f>
        <v>45869.66667</v>
      </c>
      <c r="C111" s="2">
        <f>IFERROR(__xludf.DUMMYFUNCTION("""COMPUTED_VALUE"""),97.8)</f>
        <v>97.8</v>
      </c>
      <c r="D111" s="2">
        <f t="shared" si="1"/>
        <v>-0.01974541445</v>
      </c>
    </row>
    <row r="112">
      <c r="A112" s="1" t="s">
        <v>2</v>
      </c>
      <c r="B112" s="3">
        <f>IFERROR(__xludf.DUMMYFUNCTION("""COMPUTED_VALUE"""),45870.66666666667)</f>
        <v>45870.66667</v>
      </c>
      <c r="C112" s="2">
        <f>IFERROR(__xludf.DUMMYFUNCTION("""COMPUTED_VALUE"""),95.13)</f>
        <v>95.13</v>
      </c>
      <c r="D112" s="2">
        <f t="shared" si="1"/>
        <v>-0.0273006135</v>
      </c>
    </row>
    <row r="113">
      <c r="A113" s="1" t="s">
        <v>2</v>
      </c>
      <c r="B113" s="3">
        <f>IFERROR(__xludf.DUMMYFUNCTION("""COMPUTED_VALUE"""),45873.66666666667)</f>
        <v>45873.66667</v>
      </c>
      <c r="C113" s="2">
        <f>IFERROR(__xludf.DUMMYFUNCTION("""COMPUTED_VALUE"""),97.72)</f>
        <v>97.72</v>
      </c>
      <c r="D113" s="2">
        <f t="shared" si="1"/>
        <v>0.0272259014</v>
      </c>
    </row>
    <row r="114">
      <c r="A114" s="1" t="s">
        <v>2</v>
      </c>
      <c r="B114" s="3">
        <f>IFERROR(__xludf.DUMMYFUNCTION("""COMPUTED_VALUE"""),45874.66666666667)</f>
        <v>45874.66667</v>
      </c>
      <c r="C114" s="2">
        <f>IFERROR(__xludf.DUMMYFUNCTION("""COMPUTED_VALUE"""),95.98)</f>
        <v>95.98</v>
      </c>
      <c r="D114" s="2">
        <f t="shared" si="1"/>
        <v>-0.01780597626</v>
      </c>
    </row>
    <row r="115">
      <c r="A115" s="1" t="s">
        <v>2</v>
      </c>
      <c r="B115" s="3">
        <f>IFERROR(__xludf.DUMMYFUNCTION("""COMPUTED_VALUE"""),45875.66666666667)</f>
        <v>45875.66667</v>
      </c>
      <c r="C115" s="2">
        <f>IFERROR(__xludf.DUMMYFUNCTION("""COMPUTED_VALUE"""),97.75)</f>
        <v>97.75</v>
      </c>
      <c r="D115" s="2">
        <f t="shared" si="1"/>
        <v>0.01844134195</v>
      </c>
    </row>
    <row r="116">
      <c r="A116" s="1" t="s">
        <v>2</v>
      </c>
      <c r="B116" s="3">
        <f>IFERROR(__xludf.DUMMYFUNCTION("""COMPUTED_VALUE"""),45876.66666666667)</f>
        <v>45876.66667</v>
      </c>
      <c r="C116" s="2">
        <f>IFERROR(__xludf.DUMMYFUNCTION("""COMPUTED_VALUE"""),93.58)</f>
        <v>93.58</v>
      </c>
      <c r="D116" s="2">
        <f t="shared" si="1"/>
        <v>-0.04265984655</v>
      </c>
    </row>
    <row r="117">
      <c r="A117" s="1" t="s">
        <v>2</v>
      </c>
      <c r="B117" s="3">
        <f>IFERROR(__xludf.DUMMYFUNCTION("""COMPUTED_VALUE"""),45877.66666666667)</f>
        <v>45877.66667</v>
      </c>
      <c r="C117" s="2">
        <f>IFERROR(__xludf.DUMMYFUNCTION("""COMPUTED_VALUE"""),91.55)</f>
        <v>91.55</v>
      </c>
      <c r="D117" s="2">
        <f t="shared" si="1"/>
        <v>-0.02169266937</v>
      </c>
    </row>
    <row r="118">
      <c r="A118" s="1" t="s">
        <v>2</v>
      </c>
      <c r="B118" s="3">
        <f>IFERROR(__xludf.DUMMYFUNCTION("""COMPUTED_VALUE"""),45880.66666666667)</f>
        <v>45880.66667</v>
      </c>
      <c r="C118" s="2">
        <f>IFERROR(__xludf.DUMMYFUNCTION("""COMPUTED_VALUE"""),88.51)</f>
        <v>88.51</v>
      </c>
      <c r="D118" s="2">
        <f t="shared" si="1"/>
        <v>-0.03320589842</v>
      </c>
    </row>
    <row r="119">
      <c r="A119" s="1" t="s">
        <v>2</v>
      </c>
      <c r="B119" s="3">
        <f>IFERROR(__xludf.DUMMYFUNCTION("""COMPUTED_VALUE"""),45881.66666666667)</f>
        <v>45881.66667</v>
      </c>
      <c r="C119" s="2">
        <f>IFERROR(__xludf.DUMMYFUNCTION("""COMPUTED_VALUE"""),89.33)</f>
        <v>89.33</v>
      </c>
      <c r="D119" s="2">
        <f t="shared" si="1"/>
        <v>0.009264489888</v>
      </c>
    </row>
    <row r="120">
      <c r="A120" s="1" t="s">
        <v>2</v>
      </c>
      <c r="B120" s="3">
        <f>IFERROR(__xludf.DUMMYFUNCTION("""COMPUTED_VALUE"""),45882.66666666667)</f>
        <v>45882.66667</v>
      </c>
      <c r="C120" s="2">
        <f>IFERROR(__xludf.DUMMYFUNCTION("""COMPUTED_VALUE"""),90.98)</f>
        <v>90.98</v>
      </c>
      <c r="D120" s="2">
        <f t="shared" si="1"/>
        <v>0.01847083846</v>
      </c>
    </row>
    <row r="121">
      <c r="A121" s="1" t="s">
        <v>2</v>
      </c>
      <c r="B121" s="3">
        <f>IFERROR(__xludf.DUMMYFUNCTION("""COMPUTED_VALUE"""),45883.66666666667)</f>
        <v>45883.66667</v>
      </c>
      <c r="C121" s="2">
        <f>IFERROR(__xludf.DUMMYFUNCTION("""COMPUTED_VALUE"""),88.61)</f>
        <v>88.61</v>
      </c>
      <c r="D121" s="2">
        <f t="shared" si="1"/>
        <v>-0.02604968125</v>
      </c>
    </row>
    <row r="122">
      <c r="A122" s="1" t="s">
        <v>2</v>
      </c>
      <c r="B122" s="3">
        <f>IFERROR(__xludf.DUMMYFUNCTION("""COMPUTED_VALUE"""),45884.66666666667)</f>
        <v>45884.66667</v>
      </c>
      <c r="C122" s="2">
        <f>IFERROR(__xludf.DUMMYFUNCTION("""COMPUTED_VALUE"""),92.02)</f>
        <v>92.02</v>
      </c>
      <c r="D122" s="2">
        <f t="shared" si="1"/>
        <v>0.03848324117</v>
      </c>
    </row>
    <row r="123">
      <c r="A123" s="1" t="s">
        <v>2</v>
      </c>
      <c r="B123" s="3">
        <f>IFERROR(__xludf.DUMMYFUNCTION("""COMPUTED_VALUE"""),45887.66666666667)</f>
        <v>45887.66667</v>
      </c>
      <c r="C123" s="2">
        <f>IFERROR(__xludf.DUMMYFUNCTION("""COMPUTED_VALUE"""),91.38)</f>
        <v>91.38</v>
      </c>
      <c r="D123" s="2">
        <f t="shared" si="1"/>
        <v>-0.00695500978</v>
      </c>
    </row>
    <row r="124">
      <c r="A124" s="1" t="s">
        <v>2</v>
      </c>
      <c r="B124" s="3">
        <f>IFERROR(__xludf.DUMMYFUNCTION("""COMPUTED_VALUE"""),45888.66666666667)</f>
        <v>45888.66667</v>
      </c>
      <c r="C124" s="2">
        <f>IFERROR(__xludf.DUMMYFUNCTION("""COMPUTED_VALUE"""),91.15)</f>
        <v>91.15</v>
      </c>
      <c r="D124" s="2">
        <f t="shared" si="1"/>
        <v>-0.002516962136</v>
      </c>
    </row>
    <row r="125">
      <c r="A125" s="1" t="s">
        <v>2</v>
      </c>
      <c r="B125" s="3">
        <f>IFERROR(__xludf.DUMMYFUNCTION("""COMPUTED_VALUE"""),45889.66666666667)</f>
        <v>45889.66667</v>
      </c>
      <c r="C125" s="2">
        <f>IFERROR(__xludf.DUMMYFUNCTION("""COMPUTED_VALUE"""),91.03)</f>
        <v>91.03</v>
      </c>
      <c r="D125" s="2">
        <f t="shared" si="1"/>
        <v>-0.001316511245</v>
      </c>
    </row>
    <row r="126">
      <c r="A126" s="1" t="s">
        <v>2</v>
      </c>
      <c r="B126" s="3">
        <f>IFERROR(__xludf.DUMMYFUNCTION("""COMPUTED_VALUE"""),45890.66666666667)</f>
        <v>45890.66667</v>
      </c>
      <c r="C126" s="2">
        <f>IFERROR(__xludf.DUMMYFUNCTION("""COMPUTED_VALUE"""),89.78)</f>
        <v>89.78</v>
      </c>
      <c r="D126" s="2">
        <f t="shared" si="1"/>
        <v>-0.01373173679</v>
      </c>
    </row>
    <row r="127">
      <c r="A127" s="1" t="s">
        <v>2</v>
      </c>
      <c r="B127" s="3">
        <f>IFERROR(__xludf.DUMMYFUNCTION("""COMPUTED_VALUE"""),45891.66666666667)</f>
        <v>45891.66667</v>
      </c>
      <c r="C127" s="2">
        <f>IFERROR(__xludf.DUMMYFUNCTION("""COMPUTED_VALUE"""),92.05)</f>
        <v>92.05</v>
      </c>
      <c r="D127" s="2">
        <f t="shared" si="1"/>
        <v>0.02528402762</v>
      </c>
    </row>
    <row r="128">
      <c r="A128" s="1" t="s">
        <v>2</v>
      </c>
      <c r="B128" s="3">
        <f>IFERROR(__xludf.DUMMYFUNCTION("""COMPUTED_VALUE"""),45894.66666666667)</f>
        <v>45894.66667</v>
      </c>
      <c r="C128" s="2">
        <f>IFERROR(__xludf.DUMMYFUNCTION("""COMPUTED_VALUE"""),91.35)</f>
        <v>91.35</v>
      </c>
      <c r="D128" s="2">
        <f t="shared" si="1"/>
        <v>-0.007604562738</v>
      </c>
    </row>
    <row r="129">
      <c r="A129" s="1" t="s">
        <v>2</v>
      </c>
      <c r="B129" s="3">
        <f>IFERROR(__xludf.DUMMYFUNCTION("""COMPUTED_VALUE"""),45895.66666666667)</f>
        <v>45895.66667</v>
      </c>
      <c r="C129" s="2">
        <f>IFERROR(__xludf.DUMMYFUNCTION("""COMPUTED_VALUE"""),91.56)</f>
        <v>91.56</v>
      </c>
      <c r="D129" s="2">
        <f t="shared" si="1"/>
        <v>0.002298850575</v>
      </c>
    </row>
    <row r="130">
      <c r="A130" s="1" t="s">
        <v>2</v>
      </c>
      <c r="B130" s="3">
        <f>IFERROR(__xludf.DUMMYFUNCTION("""COMPUTED_VALUE"""),45896.66666666667)</f>
        <v>45896.66667</v>
      </c>
      <c r="C130" s="2">
        <f>IFERROR(__xludf.DUMMYFUNCTION("""COMPUTED_VALUE"""),93.03)</f>
        <v>93.03</v>
      </c>
      <c r="D130" s="2">
        <f t="shared" si="1"/>
        <v>0.01605504587</v>
      </c>
    </row>
    <row r="131">
      <c r="A131" s="1" t="s">
        <v>2</v>
      </c>
      <c r="B131" s="3">
        <f>IFERROR(__xludf.DUMMYFUNCTION("""COMPUTED_VALUE"""),45897.66666666667)</f>
        <v>45897.66667</v>
      </c>
      <c r="C131" s="2">
        <f>IFERROR(__xludf.DUMMYFUNCTION("""COMPUTED_VALUE"""),92.59)</f>
        <v>92.59</v>
      </c>
      <c r="D131" s="2">
        <f t="shared" si="1"/>
        <v>-0.0047296571</v>
      </c>
    </row>
    <row r="132">
      <c r="A132" s="1" t="s">
        <v>2</v>
      </c>
      <c r="B132" s="3">
        <f>IFERROR(__xludf.DUMMYFUNCTION("""COMPUTED_VALUE"""),45898.66666666667)</f>
        <v>45898.66667</v>
      </c>
      <c r="C132" s="2">
        <f>IFERROR(__xludf.DUMMYFUNCTION("""COMPUTED_VALUE"""),92.77)</f>
        <v>92.77</v>
      </c>
      <c r="D132" s="2">
        <f t="shared" si="1"/>
        <v>0.001944054434</v>
      </c>
    </row>
    <row r="133">
      <c r="A133" s="1" t="s">
        <v>2</v>
      </c>
      <c r="B133" s="3">
        <f>IFERROR(__xludf.DUMMYFUNCTION("""COMPUTED_VALUE"""),45902.66666666667)</f>
        <v>45902.66667</v>
      </c>
      <c r="C133" s="2">
        <f>IFERROR(__xludf.DUMMYFUNCTION("""COMPUTED_VALUE"""),89.5)</f>
        <v>89.5</v>
      </c>
      <c r="D133" s="2">
        <f t="shared" si="1"/>
        <v>-0.03524846394</v>
      </c>
    </row>
    <row r="134">
      <c r="A134" s="1" t="s">
        <v>2</v>
      </c>
      <c r="B134" s="3">
        <f>IFERROR(__xludf.DUMMYFUNCTION("""COMPUTED_VALUE"""),45903.66666666667)</f>
        <v>45903.66667</v>
      </c>
      <c r="C134" s="2">
        <f>IFERROR(__xludf.DUMMYFUNCTION("""COMPUTED_VALUE"""),89.82)</f>
        <v>89.82</v>
      </c>
      <c r="D134" s="2">
        <f t="shared" si="1"/>
        <v>0.003575418994</v>
      </c>
    </row>
    <row r="135">
      <c r="A135" s="1" t="s">
        <v>2</v>
      </c>
      <c r="B135" s="3">
        <f>IFERROR(__xludf.DUMMYFUNCTION("""COMPUTED_VALUE"""),45904.66666666667)</f>
        <v>45904.66667</v>
      </c>
      <c r="C135" s="2">
        <f>IFERROR(__xludf.DUMMYFUNCTION("""COMPUTED_VALUE"""),89.74)</f>
        <v>89.74</v>
      </c>
      <c r="D135" s="2">
        <f t="shared" si="1"/>
        <v>-0.0008906702293</v>
      </c>
    </row>
    <row r="136">
      <c r="A136" s="1" t="s">
        <v>2</v>
      </c>
      <c r="B136" s="3">
        <f>IFERROR(__xludf.DUMMYFUNCTION("""COMPUTED_VALUE"""),45905.66666666667)</f>
        <v>45905.66667</v>
      </c>
      <c r="C136" s="2">
        <f>IFERROR(__xludf.DUMMYFUNCTION("""COMPUTED_VALUE"""),91.48)</f>
        <v>91.48</v>
      </c>
      <c r="D136" s="2">
        <f t="shared" si="1"/>
        <v>0.019389347</v>
      </c>
    </row>
    <row r="137">
      <c r="A137" s="1" t="s">
        <v>2</v>
      </c>
      <c r="B137" s="3">
        <f>IFERROR(__xludf.DUMMYFUNCTION("""COMPUTED_VALUE"""),45908.66666666667)</f>
        <v>45908.66667</v>
      </c>
      <c r="C137" s="2">
        <f>IFERROR(__xludf.DUMMYFUNCTION("""COMPUTED_VALUE"""),92.68)</f>
        <v>92.68</v>
      </c>
      <c r="D137" s="2">
        <f t="shared" si="1"/>
        <v>0.01311762134</v>
      </c>
    </row>
    <row r="138">
      <c r="A138" s="1" t="s">
        <v>2</v>
      </c>
      <c r="B138" s="3">
        <f>IFERROR(__xludf.DUMMYFUNCTION("""COMPUTED_VALUE"""),45909.66666666667)</f>
        <v>45909.66667</v>
      </c>
      <c r="C138" s="2">
        <f>IFERROR(__xludf.DUMMYFUNCTION("""COMPUTED_VALUE"""),93.85)</f>
        <v>93.85</v>
      </c>
      <c r="D138" s="2">
        <f t="shared" si="1"/>
        <v>0.01262408287</v>
      </c>
    </row>
    <row r="139">
      <c r="A139" s="1" t="s">
        <v>2</v>
      </c>
      <c r="B139" s="3">
        <f>IFERROR(__xludf.DUMMYFUNCTION("""COMPUTED_VALUE"""),45910.66666666667)</f>
        <v>45910.66667</v>
      </c>
      <c r="C139" s="2">
        <f>IFERROR(__xludf.DUMMYFUNCTION("""COMPUTED_VALUE"""),90.21)</f>
        <v>90.21</v>
      </c>
      <c r="D139" s="2">
        <f t="shared" si="1"/>
        <v>-0.03878529568</v>
      </c>
    </row>
    <row r="140">
      <c r="A140" s="1" t="s">
        <v>2</v>
      </c>
      <c r="B140" s="3">
        <f>IFERROR(__xludf.DUMMYFUNCTION("""COMPUTED_VALUE"""),45911.66666666667)</f>
        <v>45911.66667</v>
      </c>
      <c r="C140" s="2">
        <f>IFERROR(__xludf.DUMMYFUNCTION("""COMPUTED_VALUE"""),91.96)</f>
        <v>91.96</v>
      </c>
      <c r="D140" s="2">
        <f t="shared" si="1"/>
        <v>0.01939917969</v>
      </c>
    </row>
    <row r="141">
      <c r="A141" s="1" t="s">
        <v>2</v>
      </c>
      <c r="B141" s="3">
        <f>IFERROR(__xludf.DUMMYFUNCTION("""COMPUTED_VALUE"""),45912.66666666667)</f>
        <v>45912.66667</v>
      </c>
      <c r="C141" s="2">
        <f>IFERROR(__xludf.DUMMYFUNCTION("""COMPUTED_VALUE"""),90.34)</f>
        <v>90.34</v>
      </c>
      <c r="D141" s="2">
        <f t="shared" si="1"/>
        <v>-0.01761635494</v>
      </c>
    </row>
    <row r="142">
      <c r="A142" s="1" t="s">
        <v>2</v>
      </c>
      <c r="B142" s="3">
        <f>IFERROR(__xludf.DUMMYFUNCTION("""COMPUTED_VALUE"""),45915.66666666667)</f>
        <v>45915.66667</v>
      </c>
      <c r="C142" s="2">
        <f>IFERROR(__xludf.DUMMYFUNCTION("""COMPUTED_VALUE"""),90.91)</f>
        <v>90.91</v>
      </c>
      <c r="D142" s="2">
        <f t="shared" si="1"/>
        <v>0.006309497454</v>
      </c>
    </row>
    <row r="143">
      <c r="A143" s="1" t="s">
        <v>2</v>
      </c>
      <c r="B143" s="3">
        <f>IFERROR(__xludf.DUMMYFUNCTION("""COMPUTED_VALUE"""),45916.66666666667)</f>
        <v>45916.66667</v>
      </c>
      <c r="C143" s="2">
        <f>IFERROR(__xludf.DUMMYFUNCTION("""COMPUTED_VALUE"""),89.92)</f>
        <v>89.92</v>
      </c>
      <c r="D143" s="2">
        <f t="shared" si="1"/>
        <v>-0.0108898911</v>
      </c>
    </row>
    <row r="144">
      <c r="A144" s="1" t="s">
        <v>2</v>
      </c>
      <c r="B144" s="3">
        <f>IFERROR(__xludf.DUMMYFUNCTION("""COMPUTED_VALUE"""),45917.66666666667)</f>
        <v>45917.66667</v>
      </c>
      <c r="C144" s="2">
        <f>IFERROR(__xludf.DUMMYFUNCTION("""COMPUTED_VALUE"""),90.0)</f>
        <v>90</v>
      </c>
      <c r="D144" s="2">
        <f t="shared" si="1"/>
        <v>0.0008896797153</v>
      </c>
    </row>
    <row r="145">
      <c r="A145" s="1" t="s">
        <v>2</v>
      </c>
      <c r="B145" s="3">
        <f>IFERROR(__xludf.DUMMYFUNCTION("""COMPUTED_VALUE"""),45918.66666666667)</f>
        <v>45918.66667</v>
      </c>
      <c r="C145" s="2">
        <f>IFERROR(__xludf.DUMMYFUNCTION("""COMPUTED_VALUE"""),93.6)</f>
        <v>93.6</v>
      </c>
      <c r="D145" s="2">
        <f t="shared" si="1"/>
        <v>0.04</v>
      </c>
    </row>
    <row r="146">
      <c r="A146" s="1" t="s">
        <v>2</v>
      </c>
      <c r="B146" s="3">
        <f>IFERROR(__xludf.DUMMYFUNCTION("""COMPUTED_VALUE"""),45919.66666666667)</f>
        <v>45919.66667</v>
      </c>
      <c r="C146" s="2">
        <f>IFERROR(__xludf.DUMMYFUNCTION("""COMPUTED_VALUE"""),93.37)</f>
        <v>93.37</v>
      </c>
      <c r="D146" s="2">
        <f t="shared" si="1"/>
        <v>-0.002457264957</v>
      </c>
    </row>
    <row r="147">
      <c r="A147" s="1" t="s">
        <v>2</v>
      </c>
      <c r="B147" s="3">
        <f>IFERROR(__xludf.DUMMYFUNCTION("""COMPUTED_VALUE"""),45922.66666666667)</f>
        <v>45922.66667</v>
      </c>
      <c r="C147" s="2">
        <f>IFERROR(__xludf.DUMMYFUNCTION("""COMPUTED_VALUE"""),92.38)</f>
        <v>92.38</v>
      </c>
      <c r="D147" s="2">
        <f t="shared" si="1"/>
        <v>-0.0106029774</v>
      </c>
    </row>
    <row r="148">
      <c r="A148" s="1" t="s">
        <v>2</v>
      </c>
      <c r="B148" s="3">
        <f>IFERROR(__xludf.DUMMYFUNCTION("""COMPUTED_VALUE"""),45923.66666666667)</f>
        <v>45923.66667</v>
      </c>
      <c r="C148" s="2">
        <f>IFERROR(__xludf.DUMMYFUNCTION("""COMPUTED_VALUE"""),92.2)</f>
        <v>92.2</v>
      </c>
      <c r="D148" s="2">
        <f t="shared" si="1"/>
        <v>-0.001948473696</v>
      </c>
    </row>
    <row r="149">
      <c r="A149" s="1" t="s">
        <v>2</v>
      </c>
      <c r="B149" s="3">
        <f>IFERROR(__xludf.DUMMYFUNCTION("""COMPUTED_VALUE"""),45924.66666666667)</f>
        <v>45924.66667</v>
      </c>
      <c r="C149" s="2">
        <f>IFERROR(__xludf.DUMMYFUNCTION("""COMPUTED_VALUE"""),92.2)</f>
        <v>92.2</v>
      </c>
      <c r="D149" s="2">
        <f t="shared" si="1"/>
        <v>0</v>
      </c>
    </row>
    <row r="150">
      <c r="A150" s="1" t="s">
        <v>2</v>
      </c>
      <c r="B150" s="3">
        <f>IFERROR(__xludf.DUMMYFUNCTION("""COMPUTED_VALUE"""),45925.66666666667)</f>
        <v>45925.66667</v>
      </c>
      <c r="C150" s="2">
        <f>IFERROR(__xludf.DUMMYFUNCTION("""COMPUTED_VALUE"""),91.19)</f>
        <v>91.19</v>
      </c>
      <c r="D150" s="2">
        <f t="shared" si="1"/>
        <v>-0.01095444685</v>
      </c>
    </row>
    <row r="151">
      <c r="A151" s="1" t="s">
        <v>2</v>
      </c>
      <c r="B151" s="3">
        <f>IFERROR(__xludf.DUMMYFUNCTION("""COMPUTED_VALUE"""),45926.66666666667)</f>
        <v>45926.66667</v>
      </c>
      <c r="C151" s="2">
        <f>IFERROR(__xludf.DUMMYFUNCTION("""COMPUTED_VALUE"""),91.16)</f>
        <v>91.16</v>
      </c>
      <c r="D151" s="2">
        <f t="shared" si="1"/>
        <v>-0.0003289834412</v>
      </c>
    </row>
    <row r="152">
      <c r="A152" s="1" t="s">
        <v>2</v>
      </c>
      <c r="B152" s="3">
        <f>IFERROR(__xludf.DUMMYFUNCTION("""COMPUTED_VALUE"""),45929.66666666667)</f>
        <v>45929.66667</v>
      </c>
      <c r="C152" s="2">
        <f>IFERROR(__xludf.DUMMYFUNCTION("""COMPUTED_VALUE"""),93.86)</f>
        <v>93.86</v>
      </c>
      <c r="D152" s="2">
        <f t="shared" si="1"/>
        <v>0.02961825362</v>
      </c>
    </row>
    <row r="153">
      <c r="A153" s="1" t="s">
        <v>2</v>
      </c>
      <c r="B153" s="3">
        <f>IFERROR(__xludf.DUMMYFUNCTION("""COMPUTED_VALUE"""),45930.66666666667)</f>
        <v>45930.66667</v>
      </c>
      <c r="C153" s="2">
        <f>IFERROR(__xludf.DUMMYFUNCTION("""COMPUTED_VALUE"""),91.7)</f>
        <v>91.7</v>
      </c>
      <c r="D153" s="2">
        <f t="shared" si="1"/>
        <v>-0.02301299808</v>
      </c>
    </row>
    <row r="154">
      <c r="A154" s="1" t="s">
        <v>2</v>
      </c>
      <c r="B154" s="3">
        <f>IFERROR(__xludf.DUMMYFUNCTION("""COMPUTED_VALUE"""),45931.66666666667)</f>
        <v>45931.66667</v>
      </c>
      <c r="C154" s="2">
        <f>IFERROR(__xludf.DUMMYFUNCTION("""COMPUTED_VALUE"""),91.69)</f>
        <v>91.69</v>
      </c>
      <c r="D154" s="2">
        <f t="shared" si="1"/>
        <v>-0.0001090512541</v>
      </c>
    </row>
    <row r="155">
      <c r="A155" s="1" t="s">
        <v>2</v>
      </c>
      <c r="B155" s="3">
        <f>IFERROR(__xludf.DUMMYFUNCTION("""COMPUTED_VALUE"""),45932.66666666667)</f>
        <v>45932.66667</v>
      </c>
      <c r="C155" s="2">
        <f>IFERROR(__xludf.DUMMYFUNCTION("""COMPUTED_VALUE"""),94.92)</f>
        <v>94.92</v>
      </c>
      <c r="D155" s="2">
        <f t="shared" si="1"/>
        <v>0.03522739666</v>
      </c>
    </row>
    <row r="156">
      <c r="A156" s="1" t="s">
        <v>2</v>
      </c>
      <c r="B156" s="3">
        <f>IFERROR(__xludf.DUMMYFUNCTION("""COMPUTED_VALUE"""),45933.66666666667)</f>
        <v>45933.66667</v>
      </c>
      <c r="C156" s="2">
        <f>IFERROR(__xludf.DUMMYFUNCTION("""COMPUTED_VALUE"""),93.3)</f>
        <v>93.3</v>
      </c>
      <c r="D156" s="2">
        <f t="shared" si="1"/>
        <v>-0.01706700379</v>
      </c>
    </row>
    <row r="157">
      <c r="A157" s="1" t="s">
        <v>2</v>
      </c>
      <c r="B157" s="3">
        <f>IFERROR(__xludf.DUMMYFUNCTION("""COMPUTED_VALUE"""),45936.66666666667)</f>
        <v>45936.66667</v>
      </c>
      <c r="C157" s="2">
        <f>IFERROR(__xludf.DUMMYFUNCTION("""COMPUTED_VALUE"""),93.71)</f>
        <v>93.71</v>
      </c>
      <c r="D157" s="2">
        <f t="shared" si="1"/>
        <v>0.004394426581</v>
      </c>
    </row>
    <row r="158">
      <c r="A158" s="1" t="s">
        <v>2</v>
      </c>
      <c r="B158" s="3">
        <f>IFERROR(__xludf.DUMMYFUNCTION("""COMPUTED_VALUE"""),45937.66666666667)</f>
        <v>45937.66667</v>
      </c>
      <c r="C158" s="2">
        <f>IFERROR(__xludf.DUMMYFUNCTION("""COMPUTED_VALUE"""),90.89)</f>
        <v>90.89</v>
      </c>
      <c r="D158" s="2">
        <f t="shared" si="1"/>
        <v>-0.03009283961</v>
      </c>
    </row>
    <row r="159">
      <c r="A159" s="1" t="s">
        <v>2</v>
      </c>
      <c r="B159" s="3">
        <f>IFERROR(__xludf.DUMMYFUNCTION("""COMPUTED_VALUE"""),45938.66666666667)</f>
        <v>45938.66667</v>
      </c>
      <c r="C159" s="2">
        <f>IFERROR(__xludf.DUMMYFUNCTION("""COMPUTED_VALUE"""),92.63)</f>
        <v>92.63</v>
      </c>
      <c r="D159" s="2">
        <f t="shared" si="1"/>
        <v>0.01914402024</v>
      </c>
    </row>
    <row r="160">
      <c r="A160" s="1" t="s">
        <v>2</v>
      </c>
      <c r="B160" s="3">
        <f>IFERROR(__xludf.DUMMYFUNCTION("""COMPUTED_VALUE"""),45939.66666666667)</f>
        <v>45939.66667</v>
      </c>
      <c r="C160" s="2">
        <f>IFERROR(__xludf.DUMMYFUNCTION("""COMPUTED_VALUE"""),93.64)</f>
        <v>93.64</v>
      </c>
      <c r="D160" s="2">
        <f t="shared" si="1"/>
        <v>0.01090359495</v>
      </c>
    </row>
    <row r="161">
      <c r="A161" s="1" t="s">
        <v>2</v>
      </c>
      <c r="B161" s="3">
        <f>IFERROR(__xludf.DUMMYFUNCTION("""COMPUTED_VALUE"""),45940.66666666667)</f>
        <v>45940.66667</v>
      </c>
      <c r="C161" s="2">
        <f>IFERROR(__xludf.DUMMYFUNCTION("""COMPUTED_VALUE"""),89.35)</f>
        <v>89.35</v>
      </c>
      <c r="D161" s="2">
        <f t="shared" si="1"/>
        <v>-0.04581375481</v>
      </c>
    </row>
    <row r="162">
      <c r="A162" s="1" t="s">
        <v>2</v>
      </c>
      <c r="B162" s="3">
        <f>IFERROR(__xludf.DUMMYFUNCTION("""COMPUTED_VALUE"""),45943.66666666667)</f>
        <v>45943.66667</v>
      </c>
      <c r="C162" s="2">
        <f>IFERROR(__xludf.DUMMYFUNCTION("""COMPUTED_VALUE"""),90.14)</f>
        <v>90.14</v>
      </c>
      <c r="D162" s="2">
        <f t="shared" si="1"/>
        <v>0.008841634024</v>
      </c>
    </row>
    <row r="163">
      <c r="A163" s="1" t="s">
        <v>2</v>
      </c>
      <c r="B163" s="3">
        <f>IFERROR(__xludf.DUMMYFUNCTION("""COMPUTED_VALUE"""),45944.66666666667)</f>
        <v>45944.66667</v>
      </c>
      <c r="C163" s="2">
        <f>IFERROR(__xludf.DUMMYFUNCTION("""COMPUTED_VALUE"""),89.08)</f>
        <v>89.08</v>
      </c>
      <c r="D163" s="2">
        <f t="shared" si="1"/>
        <v>-0.01175948525</v>
      </c>
    </row>
    <row r="164">
      <c r="A164" s="1" t="s">
        <v>2</v>
      </c>
      <c r="B164" s="3">
        <f>IFERROR(__xludf.DUMMYFUNCTION("""COMPUTED_VALUE"""),45945.66666666667)</f>
        <v>45945.66667</v>
      </c>
      <c r="C164" s="2">
        <f>IFERROR(__xludf.DUMMYFUNCTION("""COMPUTED_VALUE"""),88.35)</f>
        <v>88.35</v>
      </c>
      <c r="D164" s="2">
        <f t="shared" si="1"/>
        <v>-0.008194881006</v>
      </c>
    </row>
    <row r="165">
      <c r="A165" s="1" t="s">
        <v>2</v>
      </c>
      <c r="B165" s="3">
        <f>IFERROR(__xludf.DUMMYFUNCTION("""COMPUTED_VALUE"""),45946.66666666667)</f>
        <v>45946.66667</v>
      </c>
      <c r="C165" s="2">
        <f>IFERROR(__xludf.DUMMYFUNCTION("""COMPUTED_VALUE"""),87.71)</f>
        <v>87.71</v>
      </c>
      <c r="D165" s="2">
        <f t="shared" si="1"/>
        <v>-0.007243916242</v>
      </c>
    </row>
    <row r="166">
      <c r="A166" s="1" t="s">
        <v>2</v>
      </c>
      <c r="B166" s="3">
        <f>IFERROR(__xludf.DUMMYFUNCTION("""COMPUTED_VALUE"""),45947.66666666667)</f>
        <v>45947.66667</v>
      </c>
      <c r="C166" s="2">
        <f>IFERROR(__xludf.DUMMYFUNCTION("""COMPUTED_VALUE"""),87.43)</f>
        <v>87.43</v>
      </c>
      <c r="D166" s="2">
        <f t="shared" si="1"/>
        <v>-0.003192338388</v>
      </c>
    </row>
    <row r="167">
      <c r="A167" s="1" t="s">
        <v>2</v>
      </c>
      <c r="B167" s="3">
        <f>IFERROR(__xludf.DUMMYFUNCTION("""COMPUTED_VALUE"""),45950.66666666667)</f>
        <v>45950.66667</v>
      </c>
      <c r="C167" s="2">
        <f>IFERROR(__xludf.DUMMYFUNCTION("""COMPUTED_VALUE"""),88.32)</f>
        <v>88.32</v>
      </c>
      <c r="D167" s="2">
        <f t="shared" si="1"/>
        <v>0.01017957223</v>
      </c>
    </row>
    <row r="168">
      <c r="A168" s="1" t="s">
        <v>2</v>
      </c>
      <c r="B168" s="3">
        <f>IFERROR(__xludf.DUMMYFUNCTION("""COMPUTED_VALUE"""),45951.66666666667)</f>
        <v>45951.66667</v>
      </c>
      <c r="C168" s="2">
        <f>IFERROR(__xludf.DUMMYFUNCTION("""COMPUTED_VALUE"""),89.45)</f>
        <v>89.45</v>
      </c>
      <c r="D168" s="2">
        <f t="shared" si="1"/>
        <v>0.01279438406</v>
      </c>
    </row>
    <row r="169">
      <c r="A169" s="1" t="s">
        <v>2</v>
      </c>
      <c r="B169" s="3">
        <f>IFERROR(__xludf.DUMMYFUNCTION("""COMPUTED_VALUE"""),45952.66666666667)</f>
        <v>45952.66667</v>
      </c>
      <c r="C169" s="2">
        <f>IFERROR(__xludf.DUMMYFUNCTION("""COMPUTED_VALUE"""),87.04)</f>
        <v>87.04</v>
      </c>
      <c r="D169" s="2">
        <f t="shared" si="1"/>
        <v>-0.02694242594</v>
      </c>
    </row>
    <row r="170">
      <c r="A170" s="1" t="s">
        <v>2</v>
      </c>
      <c r="B170" s="3">
        <f>IFERROR(__xludf.DUMMYFUNCTION("""COMPUTED_VALUE"""),45953.66666666667)</f>
        <v>45953.66667</v>
      </c>
      <c r="C170" s="2">
        <f>IFERROR(__xludf.DUMMYFUNCTION("""COMPUTED_VALUE"""),88.55)</f>
        <v>88.55</v>
      </c>
      <c r="D170" s="2">
        <f t="shared" si="1"/>
        <v>0.01734834559</v>
      </c>
    </row>
    <row r="171">
      <c r="A171" s="1" t="s">
        <v>2</v>
      </c>
      <c r="B171" s="3">
        <f>IFERROR(__xludf.DUMMYFUNCTION("""COMPUTED_VALUE"""),45954.66666666667)</f>
        <v>45954.66667</v>
      </c>
      <c r="C171" s="2">
        <f>IFERROR(__xludf.DUMMYFUNCTION("""COMPUTED_VALUE"""),89.07)</f>
        <v>89.07</v>
      </c>
      <c r="D171" s="2">
        <f t="shared" si="1"/>
        <v>0.005872388481</v>
      </c>
    </row>
    <row r="172">
      <c r="A172" s="1" t="s">
        <v>2</v>
      </c>
      <c r="B172" s="3">
        <f>IFERROR(__xludf.DUMMYFUNCTION("""COMPUTED_VALUE"""),45957.66666666667)</f>
        <v>45957.66667</v>
      </c>
      <c r="C172" s="2">
        <f>IFERROR(__xludf.DUMMYFUNCTION("""COMPUTED_VALUE"""),90.01)</f>
        <v>90.01</v>
      </c>
      <c r="D172" s="2">
        <f t="shared" si="1"/>
        <v>0.01055349725</v>
      </c>
    </row>
    <row r="173">
      <c r="A173" s="1" t="s">
        <v>2</v>
      </c>
      <c r="B173" s="3">
        <f>IFERROR(__xludf.DUMMYFUNCTION("""COMPUTED_VALUE"""),45958.66666666667)</f>
        <v>45958.66667</v>
      </c>
      <c r="C173" s="2">
        <f>IFERROR(__xludf.DUMMYFUNCTION("""COMPUTED_VALUE"""),89.31)</f>
        <v>89.31</v>
      </c>
      <c r="D173" s="2">
        <f t="shared" si="1"/>
        <v>-0.007776913676</v>
      </c>
    </row>
    <row r="174">
      <c r="A174" s="1" t="s">
        <v>2</v>
      </c>
      <c r="B174" s="3">
        <f>IFERROR(__xludf.DUMMYFUNCTION("""COMPUTED_VALUE"""),45959.66666666667)</f>
        <v>45959.66667</v>
      </c>
      <c r="C174" s="2">
        <f>IFERROR(__xludf.DUMMYFUNCTION("""COMPUTED_VALUE"""),87.65)</f>
        <v>87.65</v>
      </c>
      <c r="D174" s="2">
        <f t="shared" si="1"/>
        <v>-0.01858694435</v>
      </c>
    </row>
    <row r="175">
      <c r="A175" s="1" t="s">
        <v>2</v>
      </c>
      <c r="B175" s="3">
        <f>IFERROR(__xludf.DUMMYFUNCTION("""COMPUTED_VALUE"""),45960.66666666667)</f>
        <v>45960.66667</v>
      </c>
      <c r="C175" s="2">
        <f>IFERROR(__xludf.DUMMYFUNCTION("""COMPUTED_VALUE"""),87.91)</f>
        <v>87.91</v>
      </c>
      <c r="D175" s="2">
        <f t="shared" si="1"/>
        <v>0.002966343411</v>
      </c>
    </row>
    <row r="176">
      <c r="A176" s="1" t="s">
        <v>2</v>
      </c>
      <c r="B176" s="3">
        <f>IFERROR(__xludf.DUMMYFUNCTION("""COMPUTED_VALUE"""),45961.66666666667)</f>
        <v>45961.66667</v>
      </c>
      <c r="C176" s="2">
        <f>IFERROR(__xludf.DUMMYFUNCTION("""COMPUTED_VALUE"""),91.53)</f>
        <v>91.53</v>
      </c>
      <c r="D176" s="2">
        <f t="shared" si="1"/>
        <v>0.04117847799</v>
      </c>
    </row>
    <row r="177">
      <c r="A177" s="1" t="s">
        <v>2</v>
      </c>
      <c r="B177" s="3">
        <f>IFERROR(__xludf.DUMMYFUNCTION("""COMPUTED_VALUE"""),45964.66666666667)</f>
        <v>45964.66667</v>
      </c>
      <c r="C177" s="2">
        <f>IFERROR(__xludf.DUMMYFUNCTION("""COMPUTED_VALUE"""),91.08)</f>
        <v>91.08</v>
      </c>
      <c r="D177" s="2">
        <f t="shared" si="1"/>
        <v>-0.004916420846</v>
      </c>
    </row>
    <row r="178">
      <c r="A178" s="1" t="s">
        <v>2</v>
      </c>
      <c r="B178" s="3">
        <f>IFERROR(__xludf.DUMMYFUNCTION("""COMPUTED_VALUE"""),45965.66666666667)</f>
        <v>45965.66667</v>
      </c>
      <c r="C178" s="2">
        <f>IFERROR(__xludf.DUMMYFUNCTION("""COMPUTED_VALUE"""),86.97)</f>
        <v>86.97</v>
      </c>
      <c r="D178" s="2">
        <f t="shared" si="1"/>
        <v>-0.04512516469</v>
      </c>
    </row>
    <row r="179">
      <c r="A179" s="1" t="s">
        <v>2</v>
      </c>
      <c r="B179" s="3">
        <f>IFERROR(__xludf.DUMMYFUNCTION("""COMPUTED_VALUE"""),45966.66666666667)</f>
        <v>45966.66667</v>
      </c>
      <c r="C179" s="2">
        <f>IFERROR(__xludf.DUMMYFUNCTION("""COMPUTED_VALUE"""),87.13)</f>
        <v>87.13</v>
      </c>
      <c r="D179" s="2">
        <f t="shared" si="1"/>
        <v>0.001839714844</v>
      </c>
    </row>
    <row r="180">
      <c r="A180" s="1" t="s">
        <v>2</v>
      </c>
      <c r="B180" s="3">
        <f>IFERROR(__xludf.DUMMYFUNCTION("""COMPUTED_VALUE"""),45967.66666666667)</f>
        <v>45967.66667</v>
      </c>
      <c r="C180" s="2">
        <f>IFERROR(__xludf.DUMMYFUNCTION("""COMPUTED_VALUE"""),85.87)</f>
        <v>85.87</v>
      </c>
      <c r="D180" s="2">
        <f t="shared" si="1"/>
        <v>-0.01446115001</v>
      </c>
    </row>
    <row r="181">
      <c r="A181" s="1" t="s">
        <v>2</v>
      </c>
      <c r="B181" s="3">
        <f>IFERROR(__xludf.DUMMYFUNCTION("""COMPUTED_VALUE"""),45968.66666666667)</f>
        <v>45968.66667</v>
      </c>
      <c r="C181" s="2">
        <f>IFERROR(__xludf.DUMMYFUNCTION("""COMPUTED_VALUE"""),85.21)</f>
        <v>85.21</v>
      </c>
      <c r="D181" s="2">
        <f t="shared" si="1"/>
        <v>-0.007686037033</v>
      </c>
    </row>
    <row r="182">
      <c r="A182" s="1" t="s">
        <v>2</v>
      </c>
      <c r="B182" s="3">
        <f>IFERROR(__xludf.DUMMYFUNCTION("""COMPUTED_VALUE"""),45971.66666666667)</f>
        <v>45971.66667</v>
      </c>
      <c r="C182" s="2">
        <f>IFERROR(__xludf.DUMMYFUNCTION("""COMPUTED_VALUE"""),85.74)</f>
        <v>85.74</v>
      </c>
      <c r="D182" s="2">
        <f t="shared" si="1"/>
        <v>0.006219927239</v>
      </c>
    </row>
    <row r="183">
      <c r="A183" s="1" t="s">
        <v>2</v>
      </c>
      <c r="B183" s="3">
        <f>IFERROR(__xludf.DUMMYFUNCTION("""COMPUTED_VALUE"""),45972.66666666667)</f>
        <v>45972.66667</v>
      </c>
      <c r="C183" s="2">
        <f>IFERROR(__xludf.DUMMYFUNCTION("""COMPUTED_VALUE"""),85.58)</f>
        <v>85.58</v>
      </c>
      <c r="D183" s="2">
        <f t="shared" si="1"/>
        <v>-0.001866106835</v>
      </c>
    </row>
    <row r="184">
      <c r="A184" s="1" t="s">
        <v>2</v>
      </c>
      <c r="B184" s="3">
        <f>IFERROR(__xludf.DUMMYFUNCTION("""COMPUTED_VALUE"""),45973.66666666667)</f>
        <v>45973.66667</v>
      </c>
      <c r="C184" s="2">
        <f>IFERROR(__xludf.DUMMYFUNCTION("""COMPUTED_VALUE"""),84.69)</f>
        <v>84.69</v>
      </c>
      <c r="D184" s="2">
        <f t="shared" si="1"/>
        <v>-0.01039962608</v>
      </c>
    </row>
    <row r="185">
      <c r="A185" s="1" t="s">
        <v>2</v>
      </c>
      <c r="B185" s="3">
        <f>IFERROR(__xludf.DUMMYFUNCTION("""COMPUTED_VALUE"""),45974.66666666667)</f>
        <v>45974.66667</v>
      </c>
      <c r="C185" s="2">
        <f>IFERROR(__xludf.DUMMYFUNCTION("""COMPUTED_VALUE"""),83.76)</f>
        <v>83.76</v>
      </c>
      <c r="D185" s="2">
        <f t="shared" si="1"/>
        <v>-0.01098122565</v>
      </c>
    </row>
    <row r="186">
      <c r="A186" s="1" t="s">
        <v>2</v>
      </c>
      <c r="B186" s="3">
        <f>IFERROR(__xludf.DUMMYFUNCTION("""COMPUTED_VALUE"""),45975.66666666667)</f>
        <v>45975.66667</v>
      </c>
      <c r="C186" s="2">
        <f>IFERROR(__xludf.DUMMYFUNCTION("""COMPUTED_VALUE"""),83.94)</f>
        <v>83.94</v>
      </c>
      <c r="D186" s="2">
        <f t="shared" si="1"/>
        <v>0.002148997135</v>
      </c>
    </row>
    <row r="187">
      <c r="A187" s="1" t="s">
        <v>2</v>
      </c>
      <c r="B187" s="3">
        <f>IFERROR(__xludf.DUMMYFUNCTION("""COMPUTED_VALUE"""),45978.66666666667)</f>
        <v>45978.66667</v>
      </c>
      <c r="C187" s="2">
        <f>IFERROR(__xludf.DUMMYFUNCTION("""COMPUTED_VALUE"""),81.07)</f>
        <v>81.07</v>
      </c>
      <c r="D187" s="2">
        <f t="shared" si="1"/>
        <v>-0.03419108887</v>
      </c>
    </row>
    <row r="188">
      <c r="A188" s="1" t="s">
        <v>2</v>
      </c>
      <c r="B188" s="3">
        <f>IFERROR(__xludf.DUMMYFUNCTION("""COMPUTED_VALUE"""),45979.66666666667)</f>
        <v>45979.66667</v>
      </c>
      <c r="C188" s="2">
        <f>IFERROR(__xludf.DUMMYFUNCTION("""COMPUTED_VALUE"""),81.03)</f>
        <v>81.03</v>
      </c>
      <c r="D188" s="2">
        <f t="shared" si="1"/>
        <v>-0.0004934007648</v>
      </c>
    </row>
    <row r="189">
      <c r="A189" s="1" t="s">
        <v>2</v>
      </c>
      <c r="B189" s="3">
        <f>IFERROR(__xludf.DUMMYFUNCTION("""COMPUTED_VALUE"""),45980.66666666667)</f>
        <v>45980.66667</v>
      </c>
      <c r="C189" s="2">
        <f>IFERROR(__xludf.DUMMYFUNCTION("""COMPUTED_VALUE"""),80.09)</f>
        <v>80.09</v>
      </c>
      <c r="D189" s="2">
        <f t="shared" si="1"/>
        <v>-0.01160064174</v>
      </c>
    </row>
    <row r="190">
      <c r="A190" s="1" t="s">
        <v>2</v>
      </c>
      <c r="B190" s="3">
        <f>IFERROR(__xludf.DUMMYFUNCTION("""COMPUTED_VALUE"""),45981.66666666667)</f>
        <v>45981.66667</v>
      </c>
      <c r="C190" s="2">
        <f>IFERROR(__xludf.DUMMYFUNCTION("""COMPUTED_VALUE"""),78.32)</f>
        <v>78.32</v>
      </c>
      <c r="D190" s="2">
        <f t="shared" si="1"/>
        <v>-0.02210013735</v>
      </c>
    </row>
    <row r="191">
      <c r="A191" s="1" t="s">
        <v>2</v>
      </c>
      <c r="B191" s="3">
        <f>IFERROR(__xludf.DUMMYFUNCTION("""COMPUTED_VALUE"""),45982.66666666667)</f>
        <v>45982.66667</v>
      </c>
      <c r="C191" s="2">
        <f>IFERROR(__xludf.DUMMYFUNCTION("""COMPUTED_VALUE"""),78.68)</f>
        <v>78.68</v>
      </c>
      <c r="D191" s="2">
        <f t="shared" si="1"/>
        <v>0.004596527068</v>
      </c>
    </row>
    <row r="192">
      <c r="A192" s="1" t="s">
        <v>2</v>
      </c>
      <c r="B192" s="3">
        <f>IFERROR(__xludf.DUMMYFUNCTION("""COMPUTED_VALUE"""),45985.66666666667)</f>
        <v>45985.66667</v>
      </c>
      <c r="C192" s="2">
        <f>IFERROR(__xludf.DUMMYFUNCTION("""COMPUTED_VALUE"""),79.15)</f>
        <v>79.15</v>
      </c>
      <c r="D192" s="2">
        <f t="shared" si="1"/>
        <v>0.005973563803</v>
      </c>
    </row>
    <row r="193">
      <c r="A193" s="1" t="s">
        <v>2</v>
      </c>
      <c r="B193" s="3">
        <f>IFERROR(__xludf.DUMMYFUNCTION("""COMPUTED_VALUE"""),45986.66666666667)</f>
        <v>45986.66667</v>
      </c>
      <c r="C193" s="2">
        <f>IFERROR(__xludf.DUMMYFUNCTION("""COMPUTED_VALUE"""),81.16)</f>
        <v>81.16</v>
      </c>
      <c r="D193" s="2">
        <f t="shared" si="1"/>
        <v>0.02539481996</v>
      </c>
    </row>
    <row r="194">
      <c r="A194" s="1" t="s">
        <v>2</v>
      </c>
      <c r="B194" s="3">
        <f>IFERROR(__xludf.DUMMYFUNCTION("""COMPUTED_VALUE"""),45987.66666666667)</f>
        <v>45987.66667</v>
      </c>
      <c r="C194" s="2">
        <f>IFERROR(__xludf.DUMMYFUNCTION("""COMPUTED_VALUE"""),80.56)</f>
        <v>80.56</v>
      </c>
      <c r="D194" s="2">
        <f t="shared" si="1"/>
        <v>-0.007392804337</v>
      </c>
    </row>
    <row r="195">
      <c r="A195" s="1" t="s">
        <v>2</v>
      </c>
      <c r="B195" s="3">
        <f>IFERROR(__xludf.DUMMYFUNCTION("""COMPUTED_VALUE"""),45989.54513888889)</f>
        <v>45989.54514</v>
      </c>
      <c r="C195" s="2">
        <f>IFERROR(__xludf.DUMMYFUNCTION("""COMPUTED_VALUE"""),80.33)</f>
        <v>80.33</v>
      </c>
      <c r="D195" s="2">
        <f t="shared" si="1"/>
        <v>-0.002855014896</v>
      </c>
    </row>
    <row r="196">
      <c r="A196" s="1" t="s">
        <v>2</v>
      </c>
      <c r="B196" s="3">
        <f>IFERROR(__xludf.DUMMYFUNCTION("""COMPUTED_VALUE"""),45992.66666666667)</f>
        <v>45992.66667</v>
      </c>
      <c r="C196" s="2">
        <f>IFERROR(__xludf.DUMMYFUNCTION("""COMPUTED_VALUE"""),80.64)</f>
        <v>80.64</v>
      </c>
      <c r="D196" s="2">
        <f t="shared" si="1"/>
        <v>0.00385908129</v>
      </c>
    </row>
    <row r="197">
      <c r="A197" s="1" t="s">
        <v>2</v>
      </c>
      <c r="B197" s="3">
        <f>IFERROR(__xludf.DUMMYFUNCTION("""COMPUTED_VALUE"""),45993.66666666667)</f>
        <v>45993.66667</v>
      </c>
      <c r="C197" s="2">
        <f>IFERROR(__xludf.DUMMYFUNCTION("""COMPUTED_VALUE"""),81.87)</f>
        <v>81.87</v>
      </c>
      <c r="D197" s="2">
        <f t="shared" si="1"/>
        <v>0.01525297619</v>
      </c>
    </row>
    <row r="198">
      <c r="A198" s="1" t="s">
        <v>2</v>
      </c>
      <c r="B198" s="3">
        <f>IFERROR(__xludf.DUMMYFUNCTION("""COMPUTED_VALUE"""),45994.66666666667)</f>
        <v>45994.66667</v>
      </c>
      <c r="C198" s="2">
        <f>IFERROR(__xludf.DUMMYFUNCTION("""COMPUTED_VALUE"""),86.34)</f>
        <v>86.34</v>
      </c>
      <c r="D198" s="2">
        <f t="shared" si="1"/>
        <v>0.05459875412</v>
      </c>
    </row>
    <row r="199">
      <c r="A199" s="1" t="s">
        <v>2</v>
      </c>
      <c r="B199" s="3">
        <f>IFERROR(__xludf.DUMMYFUNCTION("""COMPUTED_VALUE"""),45995.66666666667)</f>
        <v>45995.66667</v>
      </c>
      <c r="C199" s="2">
        <f>IFERROR(__xludf.DUMMYFUNCTION("""COMPUTED_VALUE"""),85.9)</f>
        <v>85.9</v>
      </c>
      <c r="D199" s="2">
        <f t="shared" si="1"/>
        <v>-0.005096131573</v>
      </c>
    </row>
    <row r="200">
      <c r="A200" s="1" t="s">
        <v>2</v>
      </c>
      <c r="B200" s="3">
        <f>IFERROR(__xludf.DUMMYFUNCTION("""COMPUTED_VALUE"""),45996.66666666667)</f>
        <v>45996.66667</v>
      </c>
      <c r="C200" s="2">
        <f>IFERROR(__xludf.DUMMYFUNCTION("""COMPUTED_VALUE"""),85.89)</f>
        <v>85.89</v>
      </c>
      <c r="D200" s="2">
        <f t="shared" si="1"/>
        <v>-0.0001164144354</v>
      </c>
    </row>
    <row r="201">
      <c r="A201" s="1" t="s">
        <v>2</v>
      </c>
      <c r="B201" s="3">
        <f>IFERROR(__xludf.DUMMYFUNCTION("""COMPUTED_VALUE"""),45999.66666666667)</f>
        <v>45999.66667</v>
      </c>
      <c r="C201" s="2">
        <f>IFERROR(__xludf.DUMMYFUNCTION("""COMPUTED_VALUE"""),87.29)</f>
        <v>87.29</v>
      </c>
      <c r="D201" s="2">
        <f t="shared" si="1"/>
        <v>0.0162999185</v>
      </c>
    </row>
    <row r="202">
      <c r="A202" s="1" t="s">
        <v>2</v>
      </c>
      <c r="B202" s="3">
        <f>IFERROR(__xludf.DUMMYFUNCTION("""COMPUTED_VALUE"""),46000.66666666667)</f>
        <v>46000.66667</v>
      </c>
      <c r="C202" s="2">
        <f>IFERROR(__xludf.DUMMYFUNCTION("""COMPUTED_VALUE"""),87.79)</f>
        <v>87.79</v>
      </c>
      <c r="D202" s="2">
        <f t="shared" si="1"/>
        <v>0.005728032993</v>
      </c>
    </row>
    <row r="203">
      <c r="A203" s="1" t="s">
        <v>2</v>
      </c>
      <c r="B203" s="3">
        <f>IFERROR(__xludf.DUMMYFUNCTION("""COMPUTED_VALUE"""),46001.66666666667)</f>
        <v>46001.66667</v>
      </c>
      <c r="C203" s="2">
        <f>IFERROR(__xludf.DUMMYFUNCTION("""COMPUTED_VALUE"""),89.84)</f>
        <v>89.84</v>
      </c>
      <c r="D203" s="2">
        <f t="shared" si="1"/>
        <v>0.02335117895</v>
      </c>
    </row>
    <row r="204">
      <c r="A204" s="1" t="s">
        <v>2</v>
      </c>
      <c r="B204" s="3">
        <f>IFERROR(__xludf.DUMMYFUNCTION("""COMPUTED_VALUE"""),46002.66666666667)</f>
        <v>46002.66667</v>
      </c>
      <c r="C204" s="2">
        <f>IFERROR(__xludf.DUMMYFUNCTION("""COMPUTED_VALUE"""),90.59)</f>
        <v>90.59</v>
      </c>
      <c r="D204" s="2">
        <f t="shared" si="1"/>
        <v>0.008348174533</v>
      </c>
    </row>
    <row r="205">
      <c r="A205" s="1" t="s">
        <v>2</v>
      </c>
      <c r="B205" s="3">
        <f>IFERROR(__xludf.DUMMYFUNCTION("""COMPUTED_VALUE"""),46003.66666666667)</f>
        <v>46003.66667</v>
      </c>
      <c r="C205" s="2">
        <f>IFERROR(__xludf.DUMMYFUNCTION("""COMPUTED_VALUE"""),90.18)</f>
        <v>90.18</v>
      </c>
      <c r="D205" s="2">
        <f t="shared" si="1"/>
        <v>-0.004525885859</v>
      </c>
    </row>
    <row r="206">
      <c r="A206" s="1" t="s">
        <v>2</v>
      </c>
      <c r="B206" s="3">
        <f>IFERROR(__xludf.DUMMYFUNCTION("""COMPUTED_VALUE"""),46006.66666666667)</f>
        <v>46006.66667</v>
      </c>
      <c r="C206" s="2">
        <f>IFERROR(__xludf.DUMMYFUNCTION("""COMPUTED_VALUE"""),88.2)</f>
        <v>88.2</v>
      </c>
      <c r="D206" s="2">
        <f t="shared" si="1"/>
        <v>-0.02195608782</v>
      </c>
    </row>
    <row r="207">
      <c r="A207" s="1" t="s">
        <v>2</v>
      </c>
      <c r="B207" s="3">
        <f>IFERROR(__xludf.DUMMYFUNCTION("""COMPUTED_VALUE"""),46007.66666666667)</f>
        <v>46007.66667</v>
      </c>
      <c r="C207" s="2">
        <f>IFERROR(__xludf.DUMMYFUNCTION("""COMPUTED_VALUE"""),90.59)</f>
        <v>90.59</v>
      </c>
      <c r="D207" s="2">
        <f t="shared" si="1"/>
        <v>0.02709750567</v>
      </c>
    </row>
    <row r="208">
      <c r="A208" s="1" t="s">
        <v>2</v>
      </c>
      <c r="B208" s="3">
        <f>IFERROR(__xludf.DUMMYFUNCTION("""COMPUTED_VALUE"""),46008.66666666667)</f>
        <v>46008.66667</v>
      </c>
      <c r="C208" s="2">
        <f>IFERROR(__xludf.DUMMYFUNCTION("""COMPUTED_VALUE"""),88.42)</f>
        <v>88.42</v>
      </c>
      <c r="D208" s="2">
        <f t="shared" si="1"/>
        <v>-0.02395407882</v>
      </c>
    </row>
    <row r="209">
      <c r="A209" s="1" t="s">
        <v>2</v>
      </c>
      <c r="B209" s="3">
        <f>IFERROR(__xludf.DUMMYFUNCTION("""COMPUTED_VALUE"""),46009.66666666667)</f>
        <v>46009.66667</v>
      </c>
      <c r="C209" s="2">
        <f>IFERROR(__xludf.DUMMYFUNCTION("""COMPUTED_VALUE"""),90.23)</f>
        <v>90.23</v>
      </c>
      <c r="D209" s="2">
        <f t="shared" si="1"/>
        <v>0.02047048179</v>
      </c>
    </row>
    <row r="210">
      <c r="A210" s="1" t="s">
        <v>2</v>
      </c>
      <c r="B210" s="3">
        <f>IFERROR(__xludf.DUMMYFUNCTION("""COMPUTED_VALUE"""),46010.66666666667)</f>
        <v>46010.66667</v>
      </c>
      <c r="C210" s="2">
        <f>IFERROR(__xludf.DUMMYFUNCTION("""COMPUTED_VALUE"""),90.21)</f>
        <v>90.21</v>
      </c>
      <c r="D210" s="2">
        <f t="shared" si="1"/>
        <v>-0.0002216557686</v>
      </c>
    </row>
    <row r="211">
      <c r="A211" s="1" t="s">
        <v>2</v>
      </c>
      <c r="B211" s="3">
        <f>IFERROR(__xludf.DUMMYFUNCTION("""COMPUTED_VALUE"""),46013.66666666667)</f>
        <v>46013.66667</v>
      </c>
      <c r="C211" s="2">
        <f>IFERROR(__xludf.DUMMYFUNCTION("""COMPUTED_VALUE"""),90.94)</f>
        <v>90.94</v>
      </c>
      <c r="D211" s="2">
        <f t="shared" si="1"/>
        <v>0.008092229243</v>
      </c>
    </row>
    <row r="212">
      <c r="A212" s="1" t="s">
        <v>2</v>
      </c>
      <c r="B212" s="3">
        <f>IFERROR(__xludf.DUMMYFUNCTION("""COMPUTED_VALUE"""),46014.66666666667)</f>
        <v>46014.66667</v>
      </c>
      <c r="C212" s="2">
        <f>IFERROR(__xludf.DUMMYFUNCTION("""COMPUTED_VALUE"""),89.06)</f>
        <v>89.06</v>
      </c>
      <c r="D212" s="2">
        <f t="shared" si="1"/>
        <v>-0.02067297119</v>
      </c>
    </row>
    <row r="213">
      <c r="A213" s="1" t="s">
        <v>2</v>
      </c>
      <c r="B213" s="3">
        <f>IFERROR(__xludf.DUMMYFUNCTION("""COMPUTED_VALUE"""),46015.54513888889)</f>
        <v>46015.54514</v>
      </c>
      <c r="C213" s="2">
        <f>IFERROR(__xludf.DUMMYFUNCTION("""COMPUTED_VALUE"""),88.39)</f>
        <v>88.39</v>
      </c>
      <c r="D213" s="2">
        <f t="shared" si="1"/>
        <v>-0.00752301819</v>
      </c>
    </row>
    <row r="214">
      <c r="A214" s="1" t="s">
        <v>2</v>
      </c>
      <c r="B214" s="3">
        <f>IFERROR(__xludf.DUMMYFUNCTION("""COMPUTED_VALUE"""),46017.66666666667)</f>
        <v>46017.66667</v>
      </c>
      <c r="C214" s="2">
        <f>IFERROR(__xludf.DUMMYFUNCTION("""COMPUTED_VALUE"""),88.61)</f>
        <v>88.61</v>
      </c>
      <c r="D214" s="2">
        <f t="shared" si="1"/>
        <v>0.00248896934</v>
      </c>
    </row>
    <row r="215">
      <c r="A215" s="1" t="s">
        <v>2</v>
      </c>
      <c r="B215" s="3">
        <f>IFERROR(__xludf.DUMMYFUNCTION("""COMPUTED_VALUE"""),46020.66666666667)</f>
        <v>46020.66667</v>
      </c>
      <c r="C215" s="2">
        <f>IFERROR(__xludf.DUMMYFUNCTION("""COMPUTED_VALUE"""),88.08)</f>
        <v>88.08</v>
      </c>
      <c r="D215" s="2">
        <f t="shared" si="1"/>
        <v>-0.005981266223</v>
      </c>
    </row>
    <row r="216">
      <c r="A216" s="1" t="s">
        <v>2</v>
      </c>
      <c r="B216" s="3">
        <f>IFERROR(__xludf.DUMMYFUNCTION("""COMPUTED_VALUE"""),46021.66666666667)</f>
        <v>46021.66667</v>
      </c>
      <c r="C216" s="2">
        <f>IFERROR(__xludf.DUMMYFUNCTION("""COMPUTED_VALUE"""),87.43)</f>
        <v>87.43</v>
      </c>
      <c r="D216" s="2">
        <f t="shared" si="1"/>
        <v>-0.007379654859</v>
      </c>
    </row>
    <row r="217">
      <c r="A217" s="1" t="s">
        <v>2</v>
      </c>
      <c r="B217" s="3">
        <f>IFERROR(__xludf.DUMMYFUNCTION("""COMPUTED_VALUE"""),46022.66666666667)</f>
        <v>46022.66667</v>
      </c>
      <c r="C217" s="2">
        <f>IFERROR(__xludf.DUMMYFUNCTION("""COMPUTED_VALUE"""),86.47)</f>
        <v>86.47</v>
      </c>
      <c r="D217" s="2">
        <f t="shared" si="1"/>
        <v>-0.01098021274</v>
      </c>
    </row>
    <row r="218">
      <c r="A218" s="1" t="s">
        <v>2</v>
      </c>
      <c r="B218" s="3">
        <f>IFERROR(__xludf.DUMMYFUNCTION("""COMPUTED_VALUE"""),46024.66666666667)</f>
        <v>46024.66667</v>
      </c>
      <c r="C218" s="2">
        <f>IFERROR(__xludf.DUMMYFUNCTION("""COMPUTED_VALUE"""),83.64)</f>
        <v>83.64</v>
      </c>
      <c r="D218" s="2">
        <f t="shared" si="1"/>
        <v>-0.0327281138</v>
      </c>
    </row>
    <row r="219">
      <c r="A219" s="1" t="s">
        <v>2</v>
      </c>
      <c r="B219" s="3">
        <f>IFERROR(__xludf.DUMMYFUNCTION("""COMPUTED_VALUE"""),46027.66666666667)</f>
        <v>46027.66667</v>
      </c>
      <c r="C219" s="2">
        <f>IFERROR(__xludf.DUMMYFUNCTION("""COMPUTED_VALUE"""),87.71)</f>
        <v>87.71</v>
      </c>
      <c r="D219" s="2">
        <f t="shared" si="1"/>
        <v>0.04866092779</v>
      </c>
    </row>
    <row r="220">
      <c r="A220" s="1" t="s">
        <v>2</v>
      </c>
      <c r="B220" s="3">
        <f>IFERROR(__xludf.DUMMYFUNCTION("""COMPUTED_VALUE"""),46028.66666666667)</f>
        <v>46028.66667</v>
      </c>
      <c r="C220" s="2">
        <f>IFERROR(__xludf.DUMMYFUNCTION("""COMPUTED_VALUE"""),90.36)</f>
        <v>90.36</v>
      </c>
      <c r="D220" s="2">
        <f t="shared" si="1"/>
        <v>0.0302132026</v>
      </c>
    </row>
    <row r="221">
      <c r="A221" s="1" t="s">
        <v>2</v>
      </c>
      <c r="B221" s="3">
        <f>IFERROR(__xludf.DUMMYFUNCTION("""COMPUTED_VALUE"""),46029.66666666667)</f>
        <v>46029.66667</v>
      </c>
      <c r="C221" s="2">
        <f>IFERROR(__xludf.DUMMYFUNCTION("""COMPUTED_VALUE"""),93.84)</f>
        <v>93.84</v>
      </c>
      <c r="D221" s="2">
        <f t="shared" si="1"/>
        <v>0.0385126162</v>
      </c>
    </row>
    <row r="222">
      <c r="A222" s="1" t="s">
        <v>2</v>
      </c>
      <c r="B222" s="3">
        <f>IFERROR(__xludf.DUMMYFUNCTION("""COMPUTED_VALUE"""),46030.66666666667)</f>
        <v>46030.66667</v>
      </c>
      <c r="C222" s="2">
        <f>IFERROR(__xludf.DUMMYFUNCTION("""COMPUTED_VALUE"""),93.93)</f>
        <v>93.93</v>
      </c>
      <c r="D222" s="2">
        <f t="shared" si="1"/>
        <v>0.0009590792839</v>
      </c>
    </row>
    <row r="223">
      <c r="A223" s="1" t="s">
        <v>2</v>
      </c>
      <c r="B223" s="3">
        <f>IFERROR(__xludf.DUMMYFUNCTION("""COMPUTED_VALUE"""),46031.66666666667)</f>
        <v>46031.66667</v>
      </c>
      <c r="C223" s="2">
        <f>IFERROR(__xludf.DUMMYFUNCTION("""COMPUTED_VALUE"""),92.23)</f>
        <v>92.23</v>
      </c>
      <c r="D223" s="2">
        <f t="shared" si="1"/>
        <v>-0.01809858405</v>
      </c>
    </row>
    <row r="224">
      <c r="A224" s="1" t="s">
        <v>2</v>
      </c>
      <c r="B224" s="3">
        <f>IFERROR(__xludf.DUMMYFUNCTION("""COMPUTED_VALUE"""),46034.66666666667)</f>
        <v>46034.66667</v>
      </c>
      <c r="C224" s="2">
        <f>IFERROR(__xludf.DUMMYFUNCTION("""COMPUTED_VALUE"""),93.57)</f>
        <v>93.57</v>
      </c>
      <c r="D224" s="2">
        <f t="shared" si="1"/>
        <v>0.01452889515</v>
      </c>
    </row>
    <row r="225">
      <c r="A225" s="1" t="s">
        <v>2</v>
      </c>
      <c r="B225" s="3">
        <f>IFERROR(__xludf.DUMMYFUNCTION("""COMPUTED_VALUE"""),46035.66666666667)</f>
        <v>46035.66667</v>
      </c>
      <c r="C225" s="2">
        <f>IFERROR(__xludf.DUMMYFUNCTION("""COMPUTED_VALUE"""),94.07)</f>
        <v>94.07</v>
      </c>
      <c r="D225" s="2">
        <f t="shared" si="1"/>
        <v>0.005343593032</v>
      </c>
    </row>
    <row r="226">
      <c r="A226" s="1" t="s">
        <v>2</v>
      </c>
      <c r="B226" s="3">
        <f>IFERROR(__xludf.DUMMYFUNCTION("""COMPUTED_VALUE"""),46036.66666666667)</f>
        <v>46036.66667</v>
      </c>
      <c r="C226" s="2">
        <f>IFERROR(__xludf.DUMMYFUNCTION("""COMPUTED_VALUE"""),93.35)</f>
        <v>93.35</v>
      </c>
      <c r="D226" s="2">
        <f t="shared" si="1"/>
        <v>-0.007653874774</v>
      </c>
    </row>
    <row r="227">
      <c r="A227" s="1" t="s">
        <v>2</v>
      </c>
      <c r="B227" s="3">
        <f>IFERROR(__xludf.DUMMYFUNCTION("""COMPUTED_VALUE"""),46037.66666666667)</f>
        <v>46037.66667</v>
      </c>
      <c r="C227" s="2">
        <f>IFERROR(__xludf.DUMMYFUNCTION("""COMPUTED_VALUE"""),91.94)</f>
        <v>91.94</v>
      </c>
      <c r="D227" s="2">
        <f t="shared" si="1"/>
        <v>-0.01510444563</v>
      </c>
    </row>
    <row r="228">
      <c r="A228" s="1" t="s">
        <v>2</v>
      </c>
      <c r="B228" s="3">
        <f>IFERROR(__xludf.DUMMYFUNCTION("""COMPUTED_VALUE"""),46038.66666666667)</f>
        <v>46038.66667</v>
      </c>
      <c r="C228" s="2">
        <f>IFERROR(__xludf.DUMMYFUNCTION("""COMPUTED_VALUE"""),89.55)</f>
        <v>89.55</v>
      </c>
      <c r="D228" s="2">
        <f t="shared" si="1"/>
        <v>-0.02599521427</v>
      </c>
    </row>
    <row r="229">
      <c r="A229" s="1" t="s">
        <v>2</v>
      </c>
      <c r="B229" s="3">
        <f>IFERROR(__xludf.DUMMYFUNCTION("""COMPUTED_VALUE"""),46042.66666666667)</f>
        <v>46042.66667</v>
      </c>
      <c r="C229" s="2">
        <f>IFERROR(__xludf.DUMMYFUNCTION("""COMPUTED_VALUE"""),87.71)</f>
        <v>87.71</v>
      </c>
      <c r="D229" s="2">
        <f t="shared" si="1"/>
        <v>-0.02054718035</v>
      </c>
    </row>
    <row r="230">
      <c r="A230" s="1" t="s">
        <v>2</v>
      </c>
      <c r="B230" s="3">
        <f>IFERROR(__xludf.DUMMYFUNCTION("""COMPUTED_VALUE"""),46043.66666666667)</f>
        <v>46043.66667</v>
      </c>
      <c r="C230" s="2">
        <f>IFERROR(__xludf.DUMMYFUNCTION("""COMPUTED_VALUE"""),88.94)</f>
        <v>88.94</v>
      </c>
      <c r="D230" s="2">
        <f t="shared" si="1"/>
        <v>0.01402348649</v>
      </c>
    </row>
    <row r="231">
      <c r="A231" s="1" t="s">
        <v>2</v>
      </c>
      <c r="B231" s="3">
        <f>IFERROR(__xludf.DUMMYFUNCTION("""COMPUTED_VALUE"""),46044.66666666667)</f>
        <v>46044.66667</v>
      </c>
      <c r="C231" s="2">
        <f>IFERROR(__xludf.DUMMYFUNCTION("""COMPUTED_VALUE"""),91.46)</f>
        <v>91.46</v>
      </c>
      <c r="D231" s="2">
        <f t="shared" si="1"/>
        <v>0.02833370812</v>
      </c>
    </row>
    <row r="232">
      <c r="A232" s="1" t="s">
        <v>2</v>
      </c>
      <c r="B232" s="3">
        <f>IFERROR(__xludf.DUMMYFUNCTION("""COMPUTED_VALUE"""),46045.66666666667)</f>
        <v>46045.66667</v>
      </c>
      <c r="C232" s="2">
        <f>IFERROR(__xludf.DUMMYFUNCTION("""COMPUTED_VALUE"""),90.76)</f>
        <v>90.76</v>
      </c>
      <c r="D232" s="2">
        <f t="shared" si="1"/>
        <v>-0.007653619068</v>
      </c>
    </row>
    <row r="233">
      <c r="A233" s="1" t="s">
        <v>2</v>
      </c>
      <c r="B233" s="3">
        <f>IFERROR(__xludf.DUMMYFUNCTION("""COMPUTED_VALUE"""),46048.66666666667)</f>
        <v>46048.66667</v>
      </c>
      <c r="C233" s="2">
        <f>IFERROR(__xludf.DUMMYFUNCTION("""COMPUTED_VALUE"""),91.29)</f>
        <v>91.29</v>
      </c>
      <c r="D233" s="2">
        <f t="shared" si="1"/>
        <v>0.005839576906</v>
      </c>
    </row>
    <row r="234">
      <c r="A234" s="1" t="s">
        <v>2</v>
      </c>
      <c r="B234" s="3">
        <f>IFERROR(__xludf.DUMMYFUNCTION("""COMPUTED_VALUE"""),46049.66666666667)</f>
        <v>46049.66667</v>
      </c>
      <c r="C234" s="2">
        <f>IFERROR(__xludf.DUMMYFUNCTION("""COMPUTED_VALUE"""),91.46)</f>
        <v>91.46</v>
      </c>
      <c r="D234" s="2">
        <f t="shared" si="1"/>
        <v>0.001862197393</v>
      </c>
    </row>
    <row r="235">
      <c r="A235" s="1" t="s">
        <v>2</v>
      </c>
      <c r="B235" s="3">
        <f>IFERROR(__xludf.DUMMYFUNCTION("""COMPUTED_VALUE"""),46050.66666666667)</f>
        <v>46050.66667</v>
      </c>
      <c r="C235" s="2">
        <f>IFERROR(__xludf.DUMMYFUNCTION("""COMPUTED_VALUE"""),90.74)</f>
        <v>90.74</v>
      </c>
      <c r="D235" s="2">
        <f t="shared" si="1"/>
        <v>-0.007872293899</v>
      </c>
    </row>
    <row r="236">
      <c r="A236" s="1" t="s">
        <v>2</v>
      </c>
      <c r="B236" s="3">
        <f>IFERROR(__xludf.DUMMYFUNCTION("""COMPUTED_VALUE"""),46051.66666666667)</f>
        <v>46051.66667</v>
      </c>
      <c r="C236" s="2">
        <f>IFERROR(__xludf.DUMMYFUNCTION("""COMPUTED_VALUE"""),85.69)</f>
        <v>85.69</v>
      </c>
      <c r="D236" s="2">
        <f t="shared" si="1"/>
        <v>-0.05565351554</v>
      </c>
    </row>
    <row r="237">
      <c r="A237" s="1" t="s">
        <v>2</v>
      </c>
      <c r="B237" s="3">
        <f>IFERROR(__xludf.DUMMYFUNCTION("""COMPUTED_VALUE"""),46052.66666666667)</f>
        <v>46052.66667</v>
      </c>
      <c r="C237" s="2">
        <f>IFERROR(__xludf.DUMMYFUNCTION("""COMPUTED_VALUE"""),84.48)</f>
        <v>84.48</v>
      </c>
      <c r="D237" s="2">
        <f t="shared" si="1"/>
        <v>-0.01412066752</v>
      </c>
    </row>
    <row r="238">
      <c r="A238" s="1" t="s">
        <v>2</v>
      </c>
      <c r="B238" s="3">
        <f>IFERROR(__xludf.DUMMYFUNCTION("""COMPUTED_VALUE"""),46055.66666666667)</f>
        <v>46055.66667</v>
      </c>
      <c r="C238" s="2">
        <f>IFERROR(__xludf.DUMMYFUNCTION("""COMPUTED_VALUE"""),88.13)</f>
        <v>88.13</v>
      </c>
      <c r="D238" s="2">
        <f t="shared" si="1"/>
        <v>0.04320549242</v>
      </c>
    </row>
    <row r="239">
      <c r="A239" s="1" t="s">
        <v>2</v>
      </c>
      <c r="B239" s="3">
        <f>IFERROR(__xludf.DUMMYFUNCTION("""COMPUTED_VALUE"""),46056.66666666667)</f>
        <v>46056.66667</v>
      </c>
      <c r="C239" s="2">
        <f>IFERROR(__xludf.DUMMYFUNCTION("""COMPUTED_VALUE"""),82.31)</f>
        <v>82.31</v>
      </c>
      <c r="D239" s="2">
        <f t="shared" si="1"/>
        <v>-0.06603880631</v>
      </c>
    </row>
    <row r="240">
      <c r="A240" s="1" t="s">
        <v>2</v>
      </c>
      <c r="B240" s="3">
        <f>IFERROR(__xludf.DUMMYFUNCTION("""COMPUTED_VALUE"""),46057.66666666667)</f>
        <v>46057.66667</v>
      </c>
      <c r="C240" s="2">
        <f>IFERROR(__xludf.DUMMYFUNCTION("""COMPUTED_VALUE"""),83.42)</f>
        <v>83.42</v>
      </c>
      <c r="D240" s="2">
        <f t="shared" si="1"/>
        <v>0.01348560321</v>
      </c>
    </row>
    <row r="241">
      <c r="A241" s="1" t="s">
        <v>2</v>
      </c>
      <c r="B241" s="3">
        <f>IFERROR(__xludf.DUMMYFUNCTION("""COMPUTED_VALUE"""),46058.66666666667)</f>
        <v>46058.66667</v>
      </c>
      <c r="C241" s="2">
        <f>IFERROR(__xludf.DUMMYFUNCTION("""COMPUTED_VALUE"""),82.15)</f>
        <v>82.15</v>
      </c>
      <c r="D241" s="2">
        <f t="shared" si="1"/>
        <v>-0.01522416687</v>
      </c>
    </row>
    <row r="242">
      <c r="A242" s="1" t="s">
        <v>2</v>
      </c>
      <c r="B242" s="3">
        <f>IFERROR(__xludf.DUMMYFUNCTION("""COMPUTED_VALUE"""),46059.66666666667)</f>
        <v>46059.66667</v>
      </c>
      <c r="C242" s="2">
        <f>IFERROR(__xludf.DUMMYFUNCTION("""COMPUTED_VALUE"""),86.74)</f>
        <v>86.74</v>
      </c>
      <c r="D242" s="2">
        <f t="shared" si="1"/>
        <v>0.05587340231</v>
      </c>
    </row>
    <row r="243">
      <c r="A243" s="1" t="s">
        <v>2</v>
      </c>
      <c r="B243" s="3">
        <f>IFERROR(__xludf.DUMMYFUNCTION("""COMPUTED_VALUE"""),46062.66666666667)</f>
        <v>46062.66667</v>
      </c>
      <c r="C243" s="2">
        <f>IFERROR(__xludf.DUMMYFUNCTION("""COMPUTED_VALUE"""),88.18)</f>
        <v>88.18</v>
      </c>
      <c r="D243" s="2">
        <f t="shared" si="1"/>
        <v>0.01660133733</v>
      </c>
    </row>
    <row r="244">
      <c r="A244" s="1" t="s">
        <v>2</v>
      </c>
      <c r="B244" s="3">
        <f>IFERROR(__xludf.DUMMYFUNCTION("""COMPUTED_VALUE"""),46063.66666666667)</f>
        <v>46063.66667</v>
      </c>
      <c r="C244" s="2">
        <f>IFERROR(__xludf.DUMMYFUNCTION("""COMPUTED_VALUE"""),88.45)</f>
        <v>88.45</v>
      </c>
      <c r="D244" s="2">
        <f t="shared" si="1"/>
        <v>0.003061918802</v>
      </c>
    </row>
    <row r="245">
      <c r="A245" s="1" t="s">
        <v>2</v>
      </c>
      <c r="B245" s="3">
        <f>IFERROR(__xludf.DUMMYFUNCTION("""COMPUTED_VALUE"""),46064.66666666667)</f>
        <v>46064.66667</v>
      </c>
      <c r="C245" s="2">
        <f>IFERROR(__xludf.DUMMYFUNCTION("""COMPUTED_VALUE"""),88.18)</f>
        <v>88.18</v>
      </c>
      <c r="D245" s="2">
        <f t="shared" si="1"/>
        <v>-0.003052572075</v>
      </c>
    </row>
    <row r="246">
      <c r="A246" s="1" t="s">
        <v>2</v>
      </c>
      <c r="B246" s="3">
        <f>IFERROR(__xludf.DUMMYFUNCTION("""COMPUTED_VALUE"""),46065.66666666667)</f>
        <v>46065.66667</v>
      </c>
      <c r="C246" s="2">
        <f>IFERROR(__xludf.DUMMYFUNCTION("""COMPUTED_VALUE"""),84.91)</f>
        <v>84.91</v>
      </c>
      <c r="D246" s="2">
        <f t="shared" si="1"/>
        <v>-0.03708323883</v>
      </c>
    </row>
    <row r="247">
      <c r="A247" s="1" t="s">
        <v>2</v>
      </c>
      <c r="B247" s="3">
        <f>IFERROR(__xludf.DUMMYFUNCTION("""COMPUTED_VALUE"""),46066.66666666667)</f>
        <v>46066.66667</v>
      </c>
      <c r="C247" s="2">
        <f>IFERROR(__xludf.DUMMYFUNCTION("""COMPUTED_VALUE"""),87.26)</f>
        <v>87.26</v>
      </c>
      <c r="D247" s="2">
        <f t="shared" si="1"/>
        <v>0.02767636321</v>
      </c>
    </row>
    <row r="248">
      <c r="A248" s="1" t="s">
        <v>2</v>
      </c>
      <c r="B248" s="3">
        <f>IFERROR(__xludf.DUMMYFUNCTION("""COMPUTED_VALUE"""),46070.66666666667)</f>
        <v>46070.66667</v>
      </c>
      <c r="C248" s="2">
        <f>IFERROR(__xludf.DUMMYFUNCTION("""COMPUTED_VALUE"""),82.46)</f>
        <v>82.46</v>
      </c>
      <c r="D248" s="2">
        <f t="shared" si="1"/>
        <v>-0.055008022</v>
      </c>
    </row>
    <row r="249">
      <c r="A249" s="1" t="s">
        <v>2</v>
      </c>
      <c r="B249" s="3">
        <f>IFERROR(__xludf.DUMMYFUNCTION("""COMPUTED_VALUE"""),46071.66666666667)</f>
        <v>46071.66667</v>
      </c>
      <c r="C249" s="2">
        <f>IFERROR(__xludf.DUMMYFUNCTION("""COMPUTED_VALUE"""),82.93)</f>
        <v>82.93</v>
      </c>
      <c r="D249" s="2">
        <f t="shared" si="1"/>
        <v>0.005699733204</v>
      </c>
    </row>
    <row r="250">
      <c r="A250" s="1" t="s">
        <v>2</v>
      </c>
      <c r="B250" s="3">
        <f>IFERROR(__xludf.DUMMYFUNCTION("""COMPUTED_VALUE"""),46072.66666666667)</f>
        <v>46072.66667</v>
      </c>
      <c r="C250" s="2">
        <f>IFERROR(__xludf.DUMMYFUNCTION("""COMPUTED_VALUE"""),81.8)</f>
        <v>81.8</v>
      </c>
      <c r="D250" s="2">
        <f t="shared" si="1"/>
        <v>-0.0136259496</v>
      </c>
    </row>
    <row r="251">
      <c r="A251" s="1" t="s">
        <v>2</v>
      </c>
      <c r="B251" s="3">
        <f>IFERROR(__xludf.DUMMYFUNCTION("""COMPUTED_VALUE"""),46073.66666666667)</f>
        <v>46073.66667</v>
      </c>
      <c r="C251" s="2">
        <f>IFERROR(__xludf.DUMMYFUNCTION("""COMPUTED_VALUE"""),74.29)</f>
        <v>74.29</v>
      </c>
      <c r="D251" s="2">
        <f t="shared" si="1"/>
        <v>-0.09180929095</v>
      </c>
    </row>
    <row r="252">
      <c r="A252" s="1" t="s">
        <v>2</v>
      </c>
      <c r="D252" s="2">
        <f t="shared" si="1"/>
        <v>-1</v>
      </c>
    </row>
    <row r="253">
      <c r="A253" s="1" t="s">
        <v>0</v>
      </c>
      <c r="B253" s="2" t="str">
        <f>IFERROR(__xludf.DUMMYFUNCTION("GOOGLEFINANCE(A254, ""price"", EDATE(TODAY(), -12), TODAY()) "),"Date")</f>
        <v>Date</v>
      </c>
      <c r="C253" s="2" t="str">
        <f>IFERROR(__xludf.DUMMYFUNCTION("""COMPUTED_VALUE"""),"Close")</f>
        <v>Close</v>
      </c>
    </row>
    <row r="254">
      <c r="A254" s="1" t="s">
        <v>3</v>
      </c>
      <c r="B254" s="3">
        <f>IFERROR(__xludf.DUMMYFUNCTION("""COMPUTED_VALUE"""),45712.66666666667)</f>
        <v>45712.66667</v>
      </c>
      <c r="C254" s="2">
        <f>IFERROR(__xludf.DUMMYFUNCTION("""COMPUTED_VALUE"""),18.46)</f>
        <v>18.46</v>
      </c>
    </row>
    <row r="255">
      <c r="A255" s="1" t="s">
        <v>3</v>
      </c>
      <c r="B255" s="3">
        <f>IFERROR(__xludf.DUMMYFUNCTION("""COMPUTED_VALUE"""),45713.66666666667)</f>
        <v>45713.66667</v>
      </c>
      <c r="C255" s="2">
        <f>IFERROR(__xludf.DUMMYFUNCTION("""COMPUTED_VALUE"""),18.72)</f>
        <v>18.72</v>
      </c>
      <c r="D255" s="2">
        <f t="shared" ref="D255:D504" si="2">(C255-C254)/C254</f>
        <v>0.01408450704</v>
      </c>
    </row>
    <row r="256">
      <c r="A256" s="1" t="s">
        <v>3</v>
      </c>
      <c r="B256" s="3">
        <f>IFERROR(__xludf.DUMMYFUNCTION("""COMPUTED_VALUE"""),45714.66666666667)</f>
        <v>45714.66667</v>
      </c>
      <c r="C256" s="2">
        <f>IFERROR(__xludf.DUMMYFUNCTION("""COMPUTED_VALUE"""),18.54)</f>
        <v>18.54</v>
      </c>
      <c r="D256" s="2">
        <f t="shared" si="2"/>
        <v>-0.009615384615</v>
      </c>
    </row>
    <row r="257">
      <c r="A257" s="1" t="s">
        <v>3</v>
      </c>
      <c r="B257" s="3">
        <f>IFERROR(__xludf.DUMMYFUNCTION("""COMPUTED_VALUE"""),45715.66666666667)</f>
        <v>45715.66667</v>
      </c>
      <c r="C257" s="2">
        <f>IFERROR(__xludf.DUMMYFUNCTION("""COMPUTED_VALUE"""),17.89)</f>
        <v>17.89</v>
      </c>
      <c r="D257" s="2">
        <f t="shared" si="2"/>
        <v>-0.03505933118</v>
      </c>
    </row>
    <row r="258">
      <c r="A258" s="1" t="s">
        <v>3</v>
      </c>
      <c r="B258" s="3">
        <f>IFERROR(__xludf.DUMMYFUNCTION("""COMPUTED_VALUE"""),45716.66666666667)</f>
        <v>45716.66667</v>
      </c>
      <c r="C258" s="2">
        <f>IFERROR(__xludf.DUMMYFUNCTION("""COMPUTED_VALUE"""),16.49)</f>
        <v>16.49</v>
      </c>
      <c r="D258" s="2">
        <f t="shared" si="2"/>
        <v>-0.07825600894</v>
      </c>
    </row>
    <row r="259">
      <c r="A259" s="1" t="s">
        <v>3</v>
      </c>
      <c r="B259" s="3">
        <f>IFERROR(__xludf.DUMMYFUNCTION("""COMPUTED_VALUE"""),45719.66666666667)</f>
        <v>45719.66667</v>
      </c>
      <c r="C259" s="2">
        <f>IFERROR(__xludf.DUMMYFUNCTION("""COMPUTED_VALUE"""),14.13)</f>
        <v>14.13</v>
      </c>
      <c r="D259" s="2">
        <f t="shared" si="2"/>
        <v>-0.1431170406</v>
      </c>
    </row>
    <row r="260">
      <c r="A260" s="1" t="s">
        <v>3</v>
      </c>
      <c r="B260" s="3">
        <f>IFERROR(__xludf.DUMMYFUNCTION("""COMPUTED_VALUE"""),45720.66666666667)</f>
        <v>45720.66667</v>
      </c>
      <c r="C260" s="2">
        <f>IFERROR(__xludf.DUMMYFUNCTION("""COMPUTED_VALUE"""),14.84)</f>
        <v>14.84</v>
      </c>
      <c r="D260" s="2">
        <f t="shared" si="2"/>
        <v>0.05024769993</v>
      </c>
    </row>
    <row r="261">
      <c r="A261" s="1" t="s">
        <v>3</v>
      </c>
      <c r="B261" s="3">
        <f>IFERROR(__xludf.DUMMYFUNCTION("""COMPUTED_VALUE"""),45721.66666666667)</f>
        <v>45721.66667</v>
      </c>
      <c r="C261" s="2">
        <f>IFERROR(__xludf.DUMMYFUNCTION("""COMPUTED_VALUE"""),15.59)</f>
        <v>15.59</v>
      </c>
      <c r="D261" s="2">
        <f t="shared" si="2"/>
        <v>0.05053908356</v>
      </c>
    </row>
    <row r="262">
      <c r="A262" s="1" t="s">
        <v>3</v>
      </c>
      <c r="B262" s="3">
        <f>IFERROR(__xludf.DUMMYFUNCTION("""COMPUTED_VALUE"""),45722.66666666667)</f>
        <v>45722.66667</v>
      </c>
      <c r="C262" s="2">
        <f>IFERROR(__xludf.DUMMYFUNCTION("""COMPUTED_VALUE"""),16.02)</f>
        <v>16.02</v>
      </c>
      <c r="D262" s="2">
        <f t="shared" si="2"/>
        <v>0.02758178319</v>
      </c>
    </row>
    <row r="263">
      <c r="A263" s="1" t="s">
        <v>3</v>
      </c>
      <c r="B263" s="3">
        <f>IFERROR(__xludf.DUMMYFUNCTION("""COMPUTED_VALUE"""),45723.66666666667)</f>
        <v>45723.66667</v>
      </c>
      <c r="C263" s="2">
        <f>IFERROR(__xludf.DUMMYFUNCTION("""COMPUTED_VALUE"""),16.85)</f>
        <v>16.85</v>
      </c>
      <c r="D263" s="2">
        <f t="shared" si="2"/>
        <v>0.0518102372</v>
      </c>
    </row>
    <row r="264">
      <c r="A264" s="1" t="s">
        <v>3</v>
      </c>
      <c r="B264" s="3">
        <f>IFERROR(__xludf.DUMMYFUNCTION("""COMPUTED_VALUE"""),45726.66666666667)</f>
        <v>45726.66667</v>
      </c>
      <c r="C264" s="2">
        <f>IFERROR(__xludf.DUMMYFUNCTION("""COMPUTED_VALUE"""),16.61)</f>
        <v>16.61</v>
      </c>
      <c r="D264" s="2">
        <f t="shared" si="2"/>
        <v>-0.01424332344</v>
      </c>
    </row>
    <row r="265">
      <c r="A265" s="1" t="s">
        <v>3</v>
      </c>
      <c r="B265" s="3">
        <f>IFERROR(__xludf.DUMMYFUNCTION("""COMPUTED_VALUE"""),45727.66666666667)</f>
        <v>45727.66667</v>
      </c>
      <c r="C265" s="2">
        <f>IFERROR(__xludf.DUMMYFUNCTION("""COMPUTED_VALUE"""),16.05)</f>
        <v>16.05</v>
      </c>
      <c r="D265" s="2">
        <f t="shared" si="2"/>
        <v>-0.03371462974</v>
      </c>
    </row>
    <row r="266">
      <c r="A266" s="1" t="s">
        <v>3</v>
      </c>
      <c r="B266" s="3">
        <f>IFERROR(__xludf.DUMMYFUNCTION("""COMPUTED_VALUE"""),45728.66666666667)</f>
        <v>45728.66667</v>
      </c>
      <c r="C266" s="2">
        <f>IFERROR(__xludf.DUMMYFUNCTION("""COMPUTED_VALUE"""),15.81)</f>
        <v>15.81</v>
      </c>
      <c r="D266" s="2">
        <f t="shared" si="2"/>
        <v>-0.01495327103</v>
      </c>
    </row>
    <row r="267">
      <c r="A267" s="1" t="s">
        <v>3</v>
      </c>
      <c r="B267" s="3">
        <f>IFERROR(__xludf.DUMMYFUNCTION("""COMPUTED_VALUE"""),45729.66666666667)</f>
        <v>45729.66667</v>
      </c>
      <c r="C267" s="2">
        <f>IFERROR(__xludf.DUMMYFUNCTION("""COMPUTED_VALUE"""),15.06)</f>
        <v>15.06</v>
      </c>
      <c r="D267" s="2">
        <f t="shared" si="2"/>
        <v>-0.04743833017</v>
      </c>
    </row>
    <row r="268">
      <c r="A268" s="1" t="s">
        <v>3</v>
      </c>
      <c r="B268" s="3">
        <f>IFERROR(__xludf.DUMMYFUNCTION("""COMPUTED_VALUE"""),45730.66666666667)</f>
        <v>45730.66667</v>
      </c>
      <c r="C268" s="2">
        <f>IFERROR(__xludf.DUMMYFUNCTION("""COMPUTED_VALUE"""),16.12)</f>
        <v>16.12</v>
      </c>
      <c r="D268" s="2">
        <f t="shared" si="2"/>
        <v>0.07038512616</v>
      </c>
    </row>
    <row r="269">
      <c r="A269" s="1" t="s">
        <v>3</v>
      </c>
      <c r="B269" s="3">
        <f>IFERROR(__xludf.DUMMYFUNCTION("""COMPUTED_VALUE"""),45733.66666666667)</f>
        <v>45733.66667</v>
      </c>
      <c r="C269" s="2">
        <f>IFERROR(__xludf.DUMMYFUNCTION("""COMPUTED_VALUE"""),17.38)</f>
        <v>17.38</v>
      </c>
      <c r="D269" s="2">
        <f t="shared" si="2"/>
        <v>0.07816377171</v>
      </c>
    </row>
    <row r="270">
      <c r="A270" s="1" t="s">
        <v>3</v>
      </c>
      <c r="B270" s="3">
        <f>IFERROR(__xludf.DUMMYFUNCTION("""COMPUTED_VALUE"""),45734.66666666667)</f>
        <v>45734.66667</v>
      </c>
      <c r="C270" s="2">
        <f>IFERROR(__xludf.DUMMYFUNCTION("""COMPUTED_VALUE"""),16.88)</f>
        <v>16.88</v>
      </c>
      <c r="D270" s="2">
        <f t="shared" si="2"/>
        <v>-0.02876869965</v>
      </c>
    </row>
    <row r="271">
      <c r="A271" s="1" t="s">
        <v>3</v>
      </c>
      <c r="B271" s="3">
        <f>IFERROR(__xludf.DUMMYFUNCTION("""COMPUTED_VALUE"""),45735.66666666667)</f>
        <v>45735.66667</v>
      </c>
      <c r="C271" s="2">
        <f>IFERROR(__xludf.DUMMYFUNCTION("""COMPUTED_VALUE"""),16.98)</f>
        <v>16.98</v>
      </c>
      <c r="D271" s="2">
        <f t="shared" si="2"/>
        <v>0.005924170616</v>
      </c>
    </row>
    <row r="272">
      <c r="A272" s="1" t="s">
        <v>3</v>
      </c>
      <c r="B272" s="3">
        <f>IFERROR(__xludf.DUMMYFUNCTION("""COMPUTED_VALUE"""),45736.66666666667)</f>
        <v>45736.66667</v>
      </c>
      <c r="C272" s="2">
        <f>IFERROR(__xludf.DUMMYFUNCTION("""COMPUTED_VALUE"""),17.12)</f>
        <v>17.12</v>
      </c>
      <c r="D272" s="2">
        <f t="shared" si="2"/>
        <v>0.008244994111</v>
      </c>
    </row>
    <row r="273">
      <c r="A273" s="1" t="s">
        <v>3</v>
      </c>
      <c r="B273" s="3">
        <f>IFERROR(__xludf.DUMMYFUNCTION("""COMPUTED_VALUE"""),45737.66666666667)</f>
        <v>45737.66667</v>
      </c>
      <c r="C273" s="2">
        <f>IFERROR(__xludf.DUMMYFUNCTION("""COMPUTED_VALUE"""),17.03)</f>
        <v>17.03</v>
      </c>
      <c r="D273" s="2">
        <f t="shared" si="2"/>
        <v>-0.005257009346</v>
      </c>
    </row>
    <row r="274">
      <c r="A274" s="1" t="s">
        <v>3</v>
      </c>
      <c r="B274" s="3">
        <f>IFERROR(__xludf.DUMMYFUNCTION("""COMPUTED_VALUE"""),45740.66666666667)</f>
        <v>45740.66667</v>
      </c>
      <c r="C274" s="2">
        <f>IFERROR(__xludf.DUMMYFUNCTION("""COMPUTED_VALUE"""),17.2)</f>
        <v>17.2</v>
      </c>
      <c r="D274" s="2">
        <f t="shared" si="2"/>
        <v>0.009982384028</v>
      </c>
    </row>
    <row r="275">
      <c r="A275" s="1" t="s">
        <v>3</v>
      </c>
      <c r="B275" s="3">
        <f>IFERROR(__xludf.DUMMYFUNCTION("""COMPUTED_VALUE"""),45741.66666666667)</f>
        <v>45741.66667</v>
      </c>
      <c r="C275" s="2">
        <f>IFERROR(__xludf.DUMMYFUNCTION("""COMPUTED_VALUE"""),17.29)</f>
        <v>17.29</v>
      </c>
      <c r="D275" s="2">
        <f t="shared" si="2"/>
        <v>0.00523255814</v>
      </c>
    </row>
    <row r="276">
      <c r="A276" s="1" t="s">
        <v>3</v>
      </c>
      <c r="B276" s="3">
        <f>IFERROR(__xludf.DUMMYFUNCTION("""COMPUTED_VALUE"""),45742.66666666667)</f>
        <v>45742.66667</v>
      </c>
      <c r="C276" s="2">
        <f>IFERROR(__xludf.DUMMYFUNCTION("""COMPUTED_VALUE"""),16.1)</f>
        <v>16.1</v>
      </c>
      <c r="D276" s="2">
        <f t="shared" si="2"/>
        <v>-0.06882591093</v>
      </c>
    </row>
    <row r="277">
      <c r="A277" s="1" t="s">
        <v>3</v>
      </c>
      <c r="B277" s="3">
        <f>IFERROR(__xludf.DUMMYFUNCTION("""COMPUTED_VALUE"""),45743.66666666667)</f>
        <v>45743.66667</v>
      </c>
      <c r="C277" s="2">
        <f>IFERROR(__xludf.DUMMYFUNCTION("""COMPUTED_VALUE"""),15.93)</f>
        <v>15.93</v>
      </c>
      <c r="D277" s="2">
        <f t="shared" si="2"/>
        <v>-0.01055900621</v>
      </c>
    </row>
    <row r="278">
      <c r="A278" s="1" t="s">
        <v>3</v>
      </c>
      <c r="B278" s="3">
        <f>IFERROR(__xludf.DUMMYFUNCTION("""COMPUTED_VALUE"""),45744.66666666667)</f>
        <v>45744.66667</v>
      </c>
      <c r="C278" s="2">
        <f>IFERROR(__xludf.DUMMYFUNCTION("""COMPUTED_VALUE"""),15.85)</f>
        <v>15.85</v>
      </c>
      <c r="D278" s="2">
        <f t="shared" si="2"/>
        <v>-0.005021971124</v>
      </c>
    </row>
    <row r="279">
      <c r="A279" s="1" t="s">
        <v>3</v>
      </c>
      <c r="B279" s="3">
        <f>IFERROR(__xludf.DUMMYFUNCTION("""COMPUTED_VALUE"""),45747.66666666667)</f>
        <v>45747.66667</v>
      </c>
      <c r="C279" s="2">
        <f>IFERROR(__xludf.DUMMYFUNCTION("""COMPUTED_VALUE"""),16.18)</f>
        <v>16.18</v>
      </c>
      <c r="D279" s="2">
        <f t="shared" si="2"/>
        <v>0.02082018927</v>
      </c>
    </row>
    <row r="280">
      <c r="A280" s="1" t="s">
        <v>3</v>
      </c>
      <c r="B280" s="3">
        <f>IFERROR(__xludf.DUMMYFUNCTION("""COMPUTED_VALUE"""),45748.66666666667)</f>
        <v>45748.66667</v>
      </c>
      <c r="C280" s="2">
        <f>IFERROR(__xludf.DUMMYFUNCTION("""COMPUTED_VALUE"""),16.68)</f>
        <v>16.68</v>
      </c>
      <c r="D280" s="2">
        <f t="shared" si="2"/>
        <v>0.03090234858</v>
      </c>
    </row>
    <row r="281">
      <c r="A281" s="1" t="s">
        <v>3</v>
      </c>
      <c r="B281" s="3">
        <f>IFERROR(__xludf.DUMMYFUNCTION("""COMPUTED_VALUE"""),45749.66666666667)</f>
        <v>45749.66667</v>
      </c>
      <c r="C281" s="2">
        <f>IFERROR(__xludf.DUMMYFUNCTION("""COMPUTED_VALUE"""),16.83)</f>
        <v>16.83</v>
      </c>
      <c r="D281" s="2">
        <f t="shared" si="2"/>
        <v>0.008992805755</v>
      </c>
    </row>
    <row r="282">
      <c r="A282" s="1" t="s">
        <v>3</v>
      </c>
      <c r="B282" s="3">
        <f>IFERROR(__xludf.DUMMYFUNCTION("""COMPUTED_VALUE"""),45750.66666666667)</f>
        <v>45750.66667</v>
      </c>
      <c r="C282" s="2">
        <f>IFERROR(__xludf.DUMMYFUNCTION("""COMPUTED_VALUE"""),15.43)</f>
        <v>15.43</v>
      </c>
      <c r="D282" s="2">
        <f t="shared" si="2"/>
        <v>-0.08318478907</v>
      </c>
    </row>
    <row r="283">
      <c r="A283" s="1" t="s">
        <v>3</v>
      </c>
      <c r="B283" s="3">
        <f>IFERROR(__xludf.DUMMYFUNCTION("""COMPUTED_VALUE"""),45751.66666666667)</f>
        <v>45751.66667</v>
      </c>
      <c r="C283" s="2">
        <f>IFERROR(__xludf.DUMMYFUNCTION("""COMPUTED_VALUE"""),14.71)</f>
        <v>14.71</v>
      </c>
      <c r="D283" s="2">
        <f t="shared" si="2"/>
        <v>-0.04666234608</v>
      </c>
    </row>
    <row r="284">
      <c r="A284" s="1" t="s">
        <v>3</v>
      </c>
      <c r="B284" s="3">
        <f>IFERROR(__xludf.DUMMYFUNCTION("""COMPUTED_VALUE"""),45754.66666666667)</f>
        <v>45754.66667</v>
      </c>
      <c r="C284" s="2">
        <f>IFERROR(__xludf.DUMMYFUNCTION("""COMPUTED_VALUE"""),13.35)</f>
        <v>13.35</v>
      </c>
      <c r="D284" s="2">
        <f t="shared" si="2"/>
        <v>-0.09245411285</v>
      </c>
    </row>
    <row r="285">
      <c r="A285" s="1" t="s">
        <v>3</v>
      </c>
      <c r="B285" s="3">
        <f>IFERROR(__xludf.DUMMYFUNCTION("""COMPUTED_VALUE"""),45755.66666666667)</f>
        <v>45755.66667</v>
      </c>
      <c r="C285" s="2">
        <f>IFERROR(__xludf.DUMMYFUNCTION("""COMPUTED_VALUE"""),12.39)</f>
        <v>12.39</v>
      </c>
      <c r="D285" s="2">
        <f t="shared" si="2"/>
        <v>-0.07191011236</v>
      </c>
    </row>
    <row r="286">
      <c r="A286" s="1" t="s">
        <v>3</v>
      </c>
      <c r="B286" s="3">
        <f>IFERROR(__xludf.DUMMYFUNCTION("""COMPUTED_VALUE"""),45756.66666666667)</f>
        <v>45756.66667</v>
      </c>
      <c r="C286" s="2">
        <f>IFERROR(__xludf.DUMMYFUNCTION("""COMPUTED_VALUE"""),14.35)</f>
        <v>14.35</v>
      </c>
      <c r="D286" s="2">
        <f t="shared" si="2"/>
        <v>0.1581920904</v>
      </c>
    </row>
    <row r="287">
      <c r="A287" s="1" t="s">
        <v>3</v>
      </c>
      <c r="B287" s="3">
        <f>IFERROR(__xludf.DUMMYFUNCTION("""COMPUTED_VALUE"""),45757.66666666667)</f>
        <v>45757.66667</v>
      </c>
      <c r="C287" s="2">
        <f>IFERROR(__xludf.DUMMYFUNCTION("""COMPUTED_VALUE"""),11.58)</f>
        <v>11.58</v>
      </c>
      <c r="D287" s="2">
        <f t="shared" si="2"/>
        <v>-0.1930313589</v>
      </c>
    </row>
    <row r="288">
      <c r="A288" s="1" t="s">
        <v>3</v>
      </c>
      <c r="B288" s="3">
        <f>IFERROR(__xludf.DUMMYFUNCTION("""COMPUTED_VALUE"""),45758.66666666667)</f>
        <v>45758.66667</v>
      </c>
      <c r="C288" s="2">
        <f>IFERROR(__xludf.DUMMYFUNCTION("""COMPUTED_VALUE"""),12.76)</f>
        <v>12.76</v>
      </c>
      <c r="D288" s="2">
        <f t="shared" si="2"/>
        <v>0.1018998273</v>
      </c>
    </row>
    <row r="289">
      <c r="A289" s="1" t="s">
        <v>3</v>
      </c>
      <c r="B289" s="3">
        <f>IFERROR(__xludf.DUMMYFUNCTION("""COMPUTED_VALUE"""),45761.66666666667)</f>
        <v>45761.66667</v>
      </c>
      <c r="C289" s="2">
        <f>IFERROR(__xludf.DUMMYFUNCTION("""COMPUTED_VALUE"""),13.92)</f>
        <v>13.92</v>
      </c>
      <c r="D289" s="2">
        <f t="shared" si="2"/>
        <v>0.09090909091</v>
      </c>
    </row>
    <row r="290">
      <c r="A290" s="1" t="s">
        <v>3</v>
      </c>
      <c r="B290" s="3">
        <f>IFERROR(__xludf.DUMMYFUNCTION("""COMPUTED_VALUE"""),45762.66666666667)</f>
        <v>45762.66667</v>
      </c>
      <c r="C290" s="2">
        <f>IFERROR(__xludf.DUMMYFUNCTION("""COMPUTED_VALUE"""),12.69)</f>
        <v>12.69</v>
      </c>
      <c r="D290" s="2">
        <f t="shared" si="2"/>
        <v>-0.08836206897</v>
      </c>
    </row>
    <row r="291">
      <c r="A291" s="1" t="s">
        <v>3</v>
      </c>
      <c r="B291" s="3">
        <f>IFERROR(__xludf.DUMMYFUNCTION("""COMPUTED_VALUE"""),45763.66666666667)</f>
        <v>45763.66667</v>
      </c>
      <c r="C291" s="2">
        <f>IFERROR(__xludf.DUMMYFUNCTION("""COMPUTED_VALUE"""),12.49)</f>
        <v>12.49</v>
      </c>
      <c r="D291" s="2">
        <f t="shared" si="2"/>
        <v>-0.01576044129</v>
      </c>
    </row>
    <row r="292">
      <c r="A292" s="1" t="s">
        <v>3</v>
      </c>
      <c r="B292" s="3">
        <f>IFERROR(__xludf.DUMMYFUNCTION("""COMPUTED_VALUE"""),45764.66666666667)</f>
        <v>45764.66667</v>
      </c>
      <c r="C292" s="2">
        <f>IFERROR(__xludf.DUMMYFUNCTION("""COMPUTED_VALUE"""),12.64)</f>
        <v>12.64</v>
      </c>
      <c r="D292" s="2">
        <f t="shared" si="2"/>
        <v>0.01200960769</v>
      </c>
    </row>
    <row r="293">
      <c r="A293" s="1" t="s">
        <v>3</v>
      </c>
      <c r="B293" s="3">
        <f>IFERROR(__xludf.DUMMYFUNCTION("""COMPUTED_VALUE"""),45768.66666666667)</f>
        <v>45768.66667</v>
      </c>
      <c r="C293" s="2">
        <f>IFERROR(__xludf.DUMMYFUNCTION("""COMPUTED_VALUE"""),12.1)</f>
        <v>12.1</v>
      </c>
      <c r="D293" s="2">
        <f t="shared" si="2"/>
        <v>-0.04272151899</v>
      </c>
    </row>
    <row r="294">
      <c r="A294" s="1" t="s">
        <v>3</v>
      </c>
      <c r="B294" s="3">
        <f>IFERROR(__xludf.DUMMYFUNCTION("""COMPUTED_VALUE"""),45769.66666666667)</f>
        <v>45769.66667</v>
      </c>
      <c r="C294" s="2">
        <f>IFERROR(__xludf.DUMMYFUNCTION("""COMPUTED_VALUE"""),13.05)</f>
        <v>13.05</v>
      </c>
      <c r="D294" s="2">
        <f t="shared" si="2"/>
        <v>0.07851239669</v>
      </c>
    </row>
    <row r="295">
      <c r="A295" s="1" t="s">
        <v>3</v>
      </c>
      <c r="B295" s="3">
        <f>IFERROR(__xludf.DUMMYFUNCTION("""COMPUTED_VALUE"""),45770.66666666667)</f>
        <v>45770.66667</v>
      </c>
      <c r="C295" s="2">
        <f>IFERROR(__xludf.DUMMYFUNCTION("""COMPUTED_VALUE"""),11.92)</f>
        <v>11.92</v>
      </c>
      <c r="D295" s="2">
        <f t="shared" si="2"/>
        <v>-0.08659003831</v>
      </c>
    </row>
    <row r="296">
      <c r="A296" s="1" t="s">
        <v>3</v>
      </c>
      <c r="B296" s="3">
        <f>IFERROR(__xludf.DUMMYFUNCTION("""COMPUTED_VALUE"""),45771.66666666667)</f>
        <v>45771.66667</v>
      </c>
      <c r="C296" s="2">
        <f>IFERROR(__xludf.DUMMYFUNCTION("""COMPUTED_VALUE"""),11.72)</f>
        <v>11.72</v>
      </c>
      <c r="D296" s="2">
        <f t="shared" si="2"/>
        <v>-0.01677852349</v>
      </c>
    </row>
    <row r="297">
      <c r="A297" s="1" t="s">
        <v>3</v>
      </c>
      <c r="B297" s="3">
        <f>IFERROR(__xludf.DUMMYFUNCTION("""COMPUTED_VALUE"""),45772.66666666667)</f>
        <v>45772.66667</v>
      </c>
      <c r="C297" s="2">
        <f>IFERROR(__xludf.DUMMYFUNCTION("""COMPUTED_VALUE"""),12.56)</f>
        <v>12.56</v>
      </c>
      <c r="D297" s="2">
        <f t="shared" si="2"/>
        <v>0.07167235495</v>
      </c>
    </row>
    <row r="298">
      <c r="A298" s="1" t="s">
        <v>3</v>
      </c>
      <c r="B298" s="3">
        <f>IFERROR(__xludf.DUMMYFUNCTION("""COMPUTED_VALUE"""),45775.66666666667)</f>
        <v>45775.66667</v>
      </c>
      <c r="C298" s="2">
        <f>IFERROR(__xludf.DUMMYFUNCTION("""COMPUTED_VALUE"""),12.69)</f>
        <v>12.69</v>
      </c>
      <c r="D298" s="2">
        <f t="shared" si="2"/>
        <v>0.01035031847</v>
      </c>
    </row>
    <row r="299">
      <c r="A299" s="1" t="s">
        <v>3</v>
      </c>
      <c r="B299" s="3">
        <f>IFERROR(__xludf.DUMMYFUNCTION("""COMPUTED_VALUE"""),45776.66666666667)</f>
        <v>45776.66667</v>
      </c>
      <c r="C299" s="2">
        <f>IFERROR(__xludf.DUMMYFUNCTION("""COMPUTED_VALUE"""),12.84)</f>
        <v>12.84</v>
      </c>
      <c r="D299" s="2">
        <f t="shared" si="2"/>
        <v>0.01182033097</v>
      </c>
    </row>
    <row r="300">
      <c r="A300" s="1" t="s">
        <v>3</v>
      </c>
      <c r="B300" s="3">
        <f>IFERROR(__xludf.DUMMYFUNCTION("""COMPUTED_VALUE"""),45777.66666666667)</f>
        <v>45777.66667</v>
      </c>
      <c r="C300" s="2">
        <f>IFERROR(__xludf.DUMMYFUNCTION("""COMPUTED_VALUE"""),12.24)</f>
        <v>12.24</v>
      </c>
      <c r="D300" s="2">
        <f t="shared" si="2"/>
        <v>-0.04672897196</v>
      </c>
    </row>
    <row r="301">
      <c r="A301" s="1" t="s">
        <v>3</v>
      </c>
      <c r="B301" s="3">
        <f>IFERROR(__xludf.DUMMYFUNCTION("""COMPUTED_VALUE"""),45778.66666666667)</f>
        <v>45778.66667</v>
      </c>
      <c r="C301" s="2">
        <f>IFERROR(__xludf.DUMMYFUNCTION("""COMPUTED_VALUE"""),12.54)</f>
        <v>12.54</v>
      </c>
      <c r="D301" s="2">
        <f t="shared" si="2"/>
        <v>0.02450980392</v>
      </c>
    </row>
    <row r="302">
      <c r="A302" s="1" t="s">
        <v>3</v>
      </c>
      <c r="B302" s="3">
        <f>IFERROR(__xludf.DUMMYFUNCTION("""COMPUTED_VALUE"""),45779.66666666667)</f>
        <v>45779.66667</v>
      </c>
      <c r="C302" s="2">
        <f>IFERROR(__xludf.DUMMYFUNCTION("""COMPUTED_VALUE"""),13.1)</f>
        <v>13.1</v>
      </c>
      <c r="D302" s="2">
        <f t="shared" si="2"/>
        <v>0.04465709729</v>
      </c>
    </row>
    <row r="303">
      <c r="A303" s="1" t="s">
        <v>3</v>
      </c>
      <c r="B303" s="3">
        <f>IFERROR(__xludf.DUMMYFUNCTION("""COMPUTED_VALUE"""),45782.66666666667)</f>
        <v>45782.66667</v>
      </c>
      <c r="C303" s="2">
        <f>IFERROR(__xludf.DUMMYFUNCTION("""COMPUTED_VALUE"""),12.92)</f>
        <v>12.92</v>
      </c>
      <c r="D303" s="2">
        <f t="shared" si="2"/>
        <v>-0.01374045802</v>
      </c>
    </row>
    <row r="304">
      <c r="A304" s="1" t="s">
        <v>3</v>
      </c>
      <c r="B304" s="3">
        <f>IFERROR(__xludf.DUMMYFUNCTION("""COMPUTED_VALUE"""),45783.66666666667)</f>
        <v>45783.66667</v>
      </c>
      <c r="C304" s="2">
        <f>IFERROR(__xludf.DUMMYFUNCTION("""COMPUTED_VALUE"""),14.37)</f>
        <v>14.37</v>
      </c>
      <c r="D304" s="2">
        <f t="shared" si="2"/>
        <v>0.1122291022</v>
      </c>
    </row>
    <row r="305">
      <c r="A305" s="1" t="s">
        <v>3</v>
      </c>
      <c r="B305" s="3">
        <f>IFERROR(__xludf.DUMMYFUNCTION("""COMPUTED_VALUE"""),45784.66666666667)</f>
        <v>45784.66667</v>
      </c>
      <c r="C305" s="2">
        <f>IFERROR(__xludf.DUMMYFUNCTION("""COMPUTED_VALUE"""),14.77)</f>
        <v>14.77</v>
      </c>
      <c r="D305" s="2">
        <f t="shared" si="2"/>
        <v>0.02783576896</v>
      </c>
    </row>
    <row r="306">
      <c r="A306" s="1" t="s">
        <v>3</v>
      </c>
      <c r="B306" s="3">
        <f>IFERROR(__xludf.DUMMYFUNCTION("""COMPUTED_VALUE"""),45785.66666666667)</f>
        <v>45785.66667</v>
      </c>
      <c r="C306" s="2">
        <f>IFERROR(__xludf.DUMMYFUNCTION("""COMPUTED_VALUE"""),18.29)</f>
        <v>18.29</v>
      </c>
      <c r="D306" s="2">
        <f t="shared" si="2"/>
        <v>0.2383209208</v>
      </c>
    </row>
    <row r="307">
      <c r="A307" s="1" t="s">
        <v>3</v>
      </c>
      <c r="B307" s="3">
        <f>IFERROR(__xludf.DUMMYFUNCTION("""COMPUTED_VALUE"""),45786.66666666667)</f>
        <v>45786.66667</v>
      </c>
      <c r="C307" s="2">
        <f>IFERROR(__xludf.DUMMYFUNCTION("""COMPUTED_VALUE"""),19.84)</f>
        <v>19.84</v>
      </c>
      <c r="D307" s="2">
        <f t="shared" si="2"/>
        <v>0.08474576271</v>
      </c>
    </row>
    <row r="308">
      <c r="A308" s="1" t="s">
        <v>3</v>
      </c>
      <c r="B308" s="3">
        <f>IFERROR(__xludf.DUMMYFUNCTION("""COMPUTED_VALUE"""),45789.66666666667)</f>
        <v>45789.66667</v>
      </c>
      <c r="C308" s="2">
        <f>IFERROR(__xludf.DUMMYFUNCTION("""COMPUTED_VALUE"""),19.16)</f>
        <v>19.16</v>
      </c>
      <c r="D308" s="2">
        <f t="shared" si="2"/>
        <v>-0.03427419355</v>
      </c>
    </row>
    <row r="309">
      <c r="A309" s="1" t="s">
        <v>3</v>
      </c>
      <c r="B309" s="3">
        <f>IFERROR(__xludf.DUMMYFUNCTION("""COMPUTED_VALUE"""),45790.66666666667)</f>
        <v>45790.66667</v>
      </c>
      <c r="C309" s="2">
        <f>IFERROR(__xludf.DUMMYFUNCTION("""COMPUTED_VALUE"""),18.15)</f>
        <v>18.15</v>
      </c>
      <c r="D309" s="2">
        <f t="shared" si="2"/>
        <v>-0.05271398747</v>
      </c>
    </row>
    <row r="310">
      <c r="A310" s="1" t="s">
        <v>3</v>
      </c>
      <c r="B310" s="3">
        <f>IFERROR(__xludf.DUMMYFUNCTION("""COMPUTED_VALUE"""),45791.66666666667)</f>
        <v>45791.66667</v>
      </c>
      <c r="C310" s="2">
        <f>IFERROR(__xludf.DUMMYFUNCTION("""COMPUTED_VALUE"""),17.93)</f>
        <v>17.93</v>
      </c>
      <c r="D310" s="2">
        <f t="shared" si="2"/>
        <v>-0.01212121212</v>
      </c>
    </row>
    <row r="311">
      <c r="A311" s="1" t="s">
        <v>3</v>
      </c>
      <c r="B311" s="3">
        <f>IFERROR(__xludf.DUMMYFUNCTION("""COMPUTED_VALUE"""),45792.66666666667)</f>
        <v>45792.66667</v>
      </c>
      <c r="C311" s="2">
        <f>IFERROR(__xludf.DUMMYFUNCTION("""COMPUTED_VALUE"""),20.84)</f>
        <v>20.84</v>
      </c>
      <c r="D311" s="2">
        <f t="shared" si="2"/>
        <v>0.1622978249</v>
      </c>
    </row>
    <row r="312">
      <c r="A312" s="1" t="s">
        <v>3</v>
      </c>
      <c r="B312" s="3">
        <f>IFERROR(__xludf.DUMMYFUNCTION("""COMPUTED_VALUE"""),45793.66666666667)</f>
        <v>45793.66667</v>
      </c>
      <c r="C312" s="2">
        <f>IFERROR(__xludf.DUMMYFUNCTION("""COMPUTED_VALUE"""),22.02)</f>
        <v>22.02</v>
      </c>
      <c r="D312" s="2">
        <f t="shared" si="2"/>
        <v>0.056621881</v>
      </c>
    </row>
    <row r="313">
      <c r="A313" s="1" t="s">
        <v>3</v>
      </c>
      <c r="B313" s="3">
        <f>IFERROR(__xludf.DUMMYFUNCTION("""COMPUTED_VALUE"""),45796.66666666667)</f>
        <v>45796.66667</v>
      </c>
      <c r="C313" s="2">
        <f>IFERROR(__xludf.DUMMYFUNCTION("""COMPUTED_VALUE"""),20.76)</f>
        <v>20.76</v>
      </c>
      <c r="D313" s="2">
        <f t="shared" si="2"/>
        <v>-0.05722070845</v>
      </c>
    </row>
    <row r="314">
      <c r="A314" s="1" t="s">
        <v>3</v>
      </c>
      <c r="B314" s="3">
        <f>IFERROR(__xludf.DUMMYFUNCTION("""COMPUTED_VALUE"""),45797.66666666667)</f>
        <v>45797.66667</v>
      </c>
      <c r="C314" s="2">
        <f>IFERROR(__xludf.DUMMYFUNCTION("""COMPUTED_VALUE"""),20.65)</f>
        <v>20.65</v>
      </c>
      <c r="D314" s="2">
        <f t="shared" si="2"/>
        <v>-0.005298651252</v>
      </c>
    </row>
    <row r="315">
      <c r="A315" s="1" t="s">
        <v>3</v>
      </c>
      <c r="B315" s="3">
        <f>IFERROR(__xludf.DUMMYFUNCTION("""COMPUTED_VALUE"""),45798.66666666667)</f>
        <v>45798.66667</v>
      </c>
      <c r="C315" s="2">
        <f>IFERROR(__xludf.DUMMYFUNCTION("""COMPUTED_VALUE"""),19.84)</f>
        <v>19.84</v>
      </c>
      <c r="D315" s="2">
        <f t="shared" si="2"/>
        <v>-0.0392251816</v>
      </c>
    </row>
    <row r="316">
      <c r="A316" s="1" t="s">
        <v>3</v>
      </c>
      <c r="B316" s="3">
        <f>IFERROR(__xludf.DUMMYFUNCTION("""COMPUTED_VALUE"""),45799.66666666667)</f>
        <v>45799.66667</v>
      </c>
      <c r="C316" s="2">
        <f>IFERROR(__xludf.DUMMYFUNCTION("""COMPUTED_VALUE"""),19.84)</f>
        <v>19.84</v>
      </c>
      <c r="D316" s="2">
        <f t="shared" si="2"/>
        <v>0</v>
      </c>
    </row>
    <row r="317">
      <c r="A317" s="1" t="s">
        <v>3</v>
      </c>
      <c r="B317" s="3">
        <f>IFERROR(__xludf.DUMMYFUNCTION("""COMPUTED_VALUE"""),45800.66666666667)</f>
        <v>45800.66667</v>
      </c>
      <c r="C317" s="2">
        <f>IFERROR(__xludf.DUMMYFUNCTION("""COMPUTED_VALUE"""),16.7)</f>
        <v>16.7</v>
      </c>
      <c r="D317" s="2">
        <f t="shared" si="2"/>
        <v>-0.158266129</v>
      </c>
    </row>
    <row r="318">
      <c r="A318" s="1" t="s">
        <v>3</v>
      </c>
      <c r="B318" s="3">
        <f>IFERROR(__xludf.DUMMYFUNCTION("""COMPUTED_VALUE"""),45804.66666666667)</f>
        <v>45804.66667</v>
      </c>
      <c r="C318" s="2">
        <f>IFERROR(__xludf.DUMMYFUNCTION("""COMPUTED_VALUE"""),17.22)</f>
        <v>17.22</v>
      </c>
      <c r="D318" s="2">
        <f t="shared" si="2"/>
        <v>0.03113772455</v>
      </c>
    </row>
    <row r="319">
      <c r="A319" s="1" t="s">
        <v>3</v>
      </c>
      <c r="B319" s="3">
        <f>IFERROR(__xludf.DUMMYFUNCTION("""COMPUTED_VALUE"""),45805.66666666667)</f>
        <v>45805.66667</v>
      </c>
      <c r="C319" s="2">
        <f>IFERROR(__xludf.DUMMYFUNCTION("""COMPUTED_VALUE"""),16.92)</f>
        <v>16.92</v>
      </c>
      <c r="D319" s="2">
        <f t="shared" si="2"/>
        <v>-0.01742160279</v>
      </c>
    </row>
    <row r="320">
      <c r="A320" s="1" t="s">
        <v>3</v>
      </c>
      <c r="B320" s="3">
        <f>IFERROR(__xludf.DUMMYFUNCTION("""COMPUTED_VALUE"""),45806.66666666667)</f>
        <v>45806.66667</v>
      </c>
      <c r="C320" s="2">
        <f>IFERROR(__xludf.DUMMYFUNCTION("""COMPUTED_VALUE"""),16.6)</f>
        <v>16.6</v>
      </c>
      <c r="D320" s="2">
        <f t="shared" si="2"/>
        <v>-0.01891252955</v>
      </c>
    </row>
    <row r="321">
      <c r="A321" s="1" t="s">
        <v>3</v>
      </c>
      <c r="B321" s="3">
        <f>IFERROR(__xludf.DUMMYFUNCTION("""COMPUTED_VALUE"""),45807.66666666667)</f>
        <v>45807.66667</v>
      </c>
      <c r="C321" s="2">
        <f>IFERROR(__xludf.DUMMYFUNCTION("""COMPUTED_VALUE"""),17.86)</f>
        <v>17.86</v>
      </c>
      <c r="D321" s="2">
        <f t="shared" si="2"/>
        <v>0.07590361446</v>
      </c>
    </row>
    <row r="322">
      <c r="A322" s="1" t="s">
        <v>3</v>
      </c>
      <c r="B322" s="3">
        <f>IFERROR(__xludf.DUMMYFUNCTION("""COMPUTED_VALUE"""),45810.66666666667)</f>
        <v>45810.66667</v>
      </c>
      <c r="C322" s="2">
        <f>IFERROR(__xludf.DUMMYFUNCTION("""COMPUTED_VALUE"""),17.1)</f>
        <v>17.1</v>
      </c>
      <c r="D322" s="2">
        <f t="shared" si="2"/>
        <v>-0.04255319149</v>
      </c>
    </row>
    <row r="323">
      <c r="A323" s="1" t="s">
        <v>3</v>
      </c>
      <c r="B323" s="3">
        <f>IFERROR(__xludf.DUMMYFUNCTION("""COMPUTED_VALUE"""),45811.66666666667)</f>
        <v>45811.66667</v>
      </c>
      <c r="C323" s="2">
        <f>IFERROR(__xludf.DUMMYFUNCTION("""COMPUTED_VALUE"""),18.11)</f>
        <v>18.11</v>
      </c>
      <c r="D323" s="2">
        <f t="shared" si="2"/>
        <v>0.05906432749</v>
      </c>
    </row>
    <row r="324">
      <c r="A324" s="1" t="s">
        <v>3</v>
      </c>
      <c r="B324" s="3">
        <f>IFERROR(__xludf.DUMMYFUNCTION("""COMPUTED_VALUE"""),45812.66666666667)</f>
        <v>45812.66667</v>
      </c>
      <c r="C324" s="2">
        <f>IFERROR(__xludf.DUMMYFUNCTION("""COMPUTED_VALUE"""),17.47)</f>
        <v>17.47</v>
      </c>
      <c r="D324" s="2">
        <f t="shared" si="2"/>
        <v>-0.03533959139</v>
      </c>
    </row>
    <row r="325">
      <c r="A325" s="1" t="s">
        <v>3</v>
      </c>
      <c r="B325" s="3">
        <f>IFERROR(__xludf.DUMMYFUNCTION("""COMPUTED_VALUE"""),45813.66666666667)</f>
        <v>45813.66667</v>
      </c>
      <c r="C325" s="2">
        <f>IFERROR(__xludf.DUMMYFUNCTION("""COMPUTED_VALUE"""),17.74)</f>
        <v>17.74</v>
      </c>
      <c r="D325" s="2">
        <f t="shared" si="2"/>
        <v>0.01545506583</v>
      </c>
    </row>
    <row r="326">
      <c r="A326" s="1" t="s">
        <v>3</v>
      </c>
      <c r="B326" s="3">
        <f>IFERROR(__xludf.DUMMYFUNCTION("""COMPUTED_VALUE"""),45814.66666666667)</f>
        <v>45814.66667</v>
      </c>
      <c r="C326" s="2">
        <f>IFERROR(__xludf.DUMMYFUNCTION("""COMPUTED_VALUE"""),18.19)</f>
        <v>18.19</v>
      </c>
      <c r="D326" s="2">
        <f t="shared" si="2"/>
        <v>0.02536640361</v>
      </c>
    </row>
    <row r="327">
      <c r="A327" s="1" t="s">
        <v>3</v>
      </c>
      <c r="B327" s="3">
        <f>IFERROR(__xludf.DUMMYFUNCTION("""COMPUTED_VALUE"""),45817.66666666667)</f>
        <v>45817.66667</v>
      </c>
      <c r="C327" s="2">
        <f>IFERROR(__xludf.DUMMYFUNCTION("""COMPUTED_VALUE"""),18.72)</f>
        <v>18.72</v>
      </c>
      <c r="D327" s="2">
        <f t="shared" si="2"/>
        <v>0.0291368884</v>
      </c>
    </row>
    <row r="328">
      <c r="A328" s="1" t="s">
        <v>3</v>
      </c>
      <c r="B328" s="3">
        <f>IFERROR(__xludf.DUMMYFUNCTION("""COMPUTED_VALUE"""),45818.66666666667)</f>
        <v>45818.66667</v>
      </c>
      <c r="C328" s="2">
        <f>IFERROR(__xludf.DUMMYFUNCTION("""COMPUTED_VALUE"""),20.93)</f>
        <v>20.93</v>
      </c>
      <c r="D328" s="2">
        <f t="shared" si="2"/>
        <v>0.1180555556</v>
      </c>
    </row>
    <row r="329">
      <c r="A329" s="1" t="s">
        <v>3</v>
      </c>
      <c r="B329" s="3">
        <f>IFERROR(__xludf.DUMMYFUNCTION("""COMPUTED_VALUE"""),45819.66666666667)</f>
        <v>45819.66667</v>
      </c>
      <c r="C329" s="2">
        <f>IFERROR(__xludf.DUMMYFUNCTION("""COMPUTED_VALUE"""),20.83)</f>
        <v>20.83</v>
      </c>
      <c r="D329" s="2">
        <f t="shared" si="2"/>
        <v>-0.004777830865</v>
      </c>
    </row>
    <row r="330">
      <c r="A330" s="1" t="s">
        <v>3</v>
      </c>
      <c r="B330" s="3">
        <f>IFERROR(__xludf.DUMMYFUNCTION("""COMPUTED_VALUE"""),45820.66666666667)</f>
        <v>45820.66667</v>
      </c>
      <c r="C330" s="2">
        <f>IFERROR(__xludf.DUMMYFUNCTION("""COMPUTED_VALUE"""),21.02)</f>
        <v>21.02</v>
      </c>
      <c r="D330" s="2">
        <f t="shared" si="2"/>
        <v>0.009121459434</v>
      </c>
    </row>
    <row r="331">
      <c r="A331" s="1" t="s">
        <v>3</v>
      </c>
      <c r="B331" s="3">
        <f>IFERROR(__xludf.DUMMYFUNCTION("""COMPUTED_VALUE"""),45821.66666666667)</f>
        <v>45821.66667</v>
      </c>
      <c r="C331" s="2">
        <f>IFERROR(__xludf.DUMMYFUNCTION("""COMPUTED_VALUE"""),23.3)</f>
        <v>23.3</v>
      </c>
      <c r="D331" s="2">
        <f t="shared" si="2"/>
        <v>0.1084681256</v>
      </c>
    </row>
    <row r="332">
      <c r="A332" s="1" t="s">
        <v>3</v>
      </c>
      <c r="B332" s="3">
        <f>IFERROR(__xludf.DUMMYFUNCTION("""COMPUTED_VALUE"""),45824.66666666667)</f>
        <v>45824.66667</v>
      </c>
      <c r="C332" s="2">
        <f>IFERROR(__xludf.DUMMYFUNCTION("""COMPUTED_VALUE"""),23.98)</f>
        <v>23.98</v>
      </c>
      <c r="D332" s="2">
        <f t="shared" si="2"/>
        <v>0.02918454936</v>
      </c>
    </row>
    <row r="333">
      <c r="A333" s="1" t="s">
        <v>3</v>
      </c>
      <c r="B333" s="3">
        <f>IFERROR(__xludf.DUMMYFUNCTION("""COMPUTED_VALUE"""),45825.66666666667)</f>
        <v>45825.66667</v>
      </c>
      <c r="C333" s="2">
        <f>IFERROR(__xludf.DUMMYFUNCTION("""COMPUTED_VALUE"""),15.96)</f>
        <v>15.96</v>
      </c>
      <c r="D333" s="2">
        <f t="shared" si="2"/>
        <v>-0.3344453711</v>
      </c>
    </row>
    <row r="334">
      <c r="A334" s="1" t="s">
        <v>3</v>
      </c>
      <c r="B334" s="3">
        <f>IFERROR(__xludf.DUMMYFUNCTION("""COMPUTED_VALUE"""),45826.66666666667)</f>
        <v>45826.66667</v>
      </c>
      <c r="C334" s="2">
        <f>IFERROR(__xludf.DUMMYFUNCTION("""COMPUTED_VALUE"""),16.98)</f>
        <v>16.98</v>
      </c>
      <c r="D334" s="2">
        <f t="shared" si="2"/>
        <v>0.06390977444</v>
      </c>
    </row>
    <row r="335">
      <c r="A335" s="1" t="s">
        <v>3</v>
      </c>
      <c r="B335" s="3">
        <f>IFERROR(__xludf.DUMMYFUNCTION("""COMPUTED_VALUE"""),45828.66666666667)</f>
        <v>45828.66667</v>
      </c>
      <c r="C335" s="2">
        <f>IFERROR(__xludf.DUMMYFUNCTION("""COMPUTED_VALUE"""),16.52)</f>
        <v>16.52</v>
      </c>
      <c r="D335" s="2">
        <f t="shared" si="2"/>
        <v>-0.02709069494</v>
      </c>
    </row>
    <row r="336">
      <c r="A336" s="1" t="s">
        <v>3</v>
      </c>
      <c r="B336" s="3">
        <f>IFERROR(__xludf.DUMMYFUNCTION("""COMPUTED_VALUE"""),45831.66666666667)</f>
        <v>45831.66667</v>
      </c>
      <c r="C336" s="2">
        <f>IFERROR(__xludf.DUMMYFUNCTION("""COMPUTED_VALUE"""),16.06)</f>
        <v>16.06</v>
      </c>
      <c r="D336" s="2">
        <f t="shared" si="2"/>
        <v>-0.02784503632</v>
      </c>
    </row>
    <row r="337">
      <c r="A337" s="1" t="s">
        <v>3</v>
      </c>
      <c r="B337" s="3">
        <f>IFERROR(__xludf.DUMMYFUNCTION("""COMPUTED_VALUE"""),45832.66666666667)</f>
        <v>45832.66667</v>
      </c>
      <c r="C337" s="2">
        <f>IFERROR(__xludf.DUMMYFUNCTION("""COMPUTED_VALUE"""),18.93)</f>
        <v>18.93</v>
      </c>
      <c r="D337" s="2">
        <f t="shared" si="2"/>
        <v>0.1787048568</v>
      </c>
    </row>
    <row r="338">
      <c r="A338" s="1" t="s">
        <v>3</v>
      </c>
      <c r="B338" s="3">
        <f>IFERROR(__xludf.DUMMYFUNCTION("""COMPUTED_VALUE"""),45833.66666666667)</f>
        <v>45833.66667</v>
      </c>
      <c r="C338" s="2">
        <f>IFERROR(__xludf.DUMMYFUNCTION("""COMPUTED_VALUE"""),19.09)</f>
        <v>19.09</v>
      </c>
      <c r="D338" s="2">
        <f t="shared" si="2"/>
        <v>0.008452192287</v>
      </c>
    </row>
    <row r="339">
      <c r="A339" s="1" t="s">
        <v>3</v>
      </c>
      <c r="B339" s="3">
        <f>IFERROR(__xludf.DUMMYFUNCTION("""COMPUTED_VALUE"""),45834.66666666667)</f>
        <v>45834.66667</v>
      </c>
      <c r="C339" s="2">
        <f>IFERROR(__xludf.DUMMYFUNCTION("""COMPUTED_VALUE"""),20.07)</f>
        <v>20.07</v>
      </c>
      <c r="D339" s="2">
        <f t="shared" si="2"/>
        <v>0.05133577789</v>
      </c>
    </row>
    <row r="340">
      <c r="A340" s="1" t="s">
        <v>3</v>
      </c>
      <c r="B340" s="3">
        <f>IFERROR(__xludf.DUMMYFUNCTION("""COMPUTED_VALUE"""),45835.66666666667)</f>
        <v>45835.66667</v>
      </c>
      <c r="C340" s="2">
        <f>IFERROR(__xludf.DUMMYFUNCTION("""COMPUTED_VALUE"""),19.8)</f>
        <v>19.8</v>
      </c>
      <c r="D340" s="2">
        <f t="shared" si="2"/>
        <v>-0.0134529148</v>
      </c>
    </row>
    <row r="341">
      <c r="A341" s="1" t="s">
        <v>3</v>
      </c>
      <c r="B341" s="3">
        <f>IFERROR(__xludf.DUMMYFUNCTION("""COMPUTED_VALUE"""),45838.66666666667)</f>
        <v>45838.66667</v>
      </c>
      <c r="C341" s="2">
        <f>IFERROR(__xludf.DUMMYFUNCTION("""COMPUTED_VALUE"""),20.4)</f>
        <v>20.4</v>
      </c>
      <c r="D341" s="2">
        <f t="shared" si="2"/>
        <v>0.0303030303</v>
      </c>
    </row>
    <row r="342">
      <c r="A342" s="1" t="s">
        <v>3</v>
      </c>
      <c r="B342" s="3">
        <f>IFERROR(__xludf.DUMMYFUNCTION("""COMPUTED_VALUE"""),45839.66666666667)</f>
        <v>45839.66667</v>
      </c>
      <c r="C342" s="2">
        <f>IFERROR(__xludf.DUMMYFUNCTION("""COMPUTED_VALUE"""),21.86)</f>
        <v>21.86</v>
      </c>
      <c r="D342" s="2">
        <f t="shared" si="2"/>
        <v>0.07156862745</v>
      </c>
    </row>
    <row r="343">
      <c r="A343" s="1" t="s">
        <v>3</v>
      </c>
      <c r="B343" s="3">
        <f>IFERROR(__xludf.DUMMYFUNCTION("""COMPUTED_VALUE"""),45840.66666666667)</f>
        <v>45840.66667</v>
      </c>
      <c r="C343" s="2">
        <f>IFERROR(__xludf.DUMMYFUNCTION("""COMPUTED_VALUE"""),23.6)</f>
        <v>23.6</v>
      </c>
      <c r="D343" s="2">
        <f t="shared" si="2"/>
        <v>0.07959743824</v>
      </c>
    </row>
    <row r="344">
      <c r="A344" s="1" t="s">
        <v>3</v>
      </c>
      <c r="B344" s="3">
        <f>IFERROR(__xludf.DUMMYFUNCTION("""COMPUTED_VALUE"""),45841.54513888889)</f>
        <v>45841.54514</v>
      </c>
      <c r="C344" s="2">
        <f>IFERROR(__xludf.DUMMYFUNCTION("""COMPUTED_VALUE"""),27.54)</f>
        <v>27.54</v>
      </c>
      <c r="D344" s="2">
        <f t="shared" si="2"/>
        <v>0.1669491525</v>
      </c>
    </row>
    <row r="345">
      <c r="A345" s="1" t="s">
        <v>3</v>
      </c>
      <c r="B345" s="3">
        <f>IFERROR(__xludf.DUMMYFUNCTION("""COMPUTED_VALUE"""),45845.66666666667)</f>
        <v>45845.66667</v>
      </c>
      <c r="C345" s="2">
        <f>IFERROR(__xludf.DUMMYFUNCTION("""COMPUTED_VALUE"""),26.43)</f>
        <v>26.43</v>
      </c>
      <c r="D345" s="2">
        <f t="shared" si="2"/>
        <v>-0.04030501089</v>
      </c>
    </row>
    <row r="346">
      <c r="A346" s="1" t="s">
        <v>3</v>
      </c>
      <c r="B346" s="3">
        <f>IFERROR(__xludf.DUMMYFUNCTION("""COMPUTED_VALUE"""),45846.66666666667)</f>
        <v>45846.66667</v>
      </c>
      <c r="C346" s="2">
        <f>IFERROR(__xludf.DUMMYFUNCTION("""COMPUTED_VALUE"""),26.15)</f>
        <v>26.15</v>
      </c>
      <c r="D346" s="2">
        <f t="shared" si="2"/>
        <v>-0.01059402194</v>
      </c>
    </row>
    <row r="347">
      <c r="A347" s="1" t="s">
        <v>3</v>
      </c>
      <c r="B347" s="3">
        <f>IFERROR(__xludf.DUMMYFUNCTION("""COMPUTED_VALUE"""),45847.66666666667)</f>
        <v>45847.66667</v>
      </c>
      <c r="C347" s="2">
        <f>IFERROR(__xludf.DUMMYFUNCTION("""COMPUTED_VALUE"""),27.09)</f>
        <v>27.09</v>
      </c>
      <c r="D347" s="2">
        <f t="shared" si="2"/>
        <v>0.03594646272</v>
      </c>
    </row>
    <row r="348">
      <c r="A348" s="1" t="s">
        <v>3</v>
      </c>
      <c r="B348" s="3">
        <f>IFERROR(__xludf.DUMMYFUNCTION("""COMPUTED_VALUE"""),45848.66666666667)</f>
        <v>45848.66667</v>
      </c>
      <c r="C348" s="2">
        <f>IFERROR(__xludf.DUMMYFUNCTION("""COMPUTED_VALUE"""),27.57)</f>
        <v>27.57</v>
      </c>
      <c r="D348" s="2">
        <f t="shared" si="2"/>
        <v>0.01771871539</v>
      </c>
    </row>
    <row r="349">
      <c r="A349" s="1" t="s">
        <v>3</v>
      </c>
      <c r="B349" s="3">
        <f>IFERROR(__xludf.DUMMYFUNCTION("""COMPUTED_VALUE"""),45849.66666666667)</f>
        <v>45849.66667</v>
      </c>
      <c r="C349" s="2">
        <f>IFERROR(__xludf.DUMMYFUNCTION("""COMPUTED_VALUE"""),25.62)</f>
        <v>25.62</v>
      </c>
      <c r="D349" s="2">
        <f t="shared" si="2"/>
        <v>-0.07072905332</v>
      </c>
    </row>
    <row r="350">
      <c r="A350" s="1" t="s">
        <v>3</v>
      </c>
      <c r="B350" s="3">
        <f>IFERROR(__xludf.DUMMYFUNCTION("""COMPUTED_VALUE"""),45852.66666666667)</f>
        <v>45852.66667</v>
      </c>
      <c r="C350" s="2">
        <f>IFERROR(__xludf.DUMMYFUNCTION("""COMPUTED_VALUE"""),26.72)</f>
        <v>26.72</v>
      </c>
      <c r="D350" s="2">
        <f t="shared" si="2"/>
        <v>0.04293520687</v>
      </c>
    </row>
    <row r="351">
      <c r="A351" s="1" t="s">
        <v>3</v>
      </c>
      <c r="B351" s="3">
        <f>IFERROR(__xludf.DUMMYFUNCTION("""COMPUTED_VALUE"""),45853.66666666667)</f>
        <v>45853.66667</v>
      </c>
      <c r="C351" s="2">
        <f>IFERROR(__xludf.DUMMYFUNCTION("""COMPUTED_VALUE"""),27.37)</f>
        <v>27.37</v>
      </c>
      <c r="D351" s="2">
        <f t="shared" si="2"/>
        <v>0.02432634731</v>
      </c>
    </row>
    <row r="352">
      <c r="A352" s="1" t="s">
        <v>3</v>
      </c>
      <c r="B352" s="3">
        <f>IFERROR(__xludf.DUMMYFUNCTION("""COMPUTED_VALUE"""),45854.66666666667)</f>
        <v>45854.66667</v>
      </c>
      <c r="C352" s="2">
        <f>IFERROR(__xludf.DUMMYFUNCTION("""COMPUTED_VALUE"""),24.96)</f>
        <v>24.96</v>
      </c>
      <c r="D352" s="2">
        <f t="shared" si="2"/>
        <v>-0.08805261235</v>
      </c>
    </row>
    <row r="353">
      <c r="A353" s="1" t="s">
        <v>3</v>
      </c>
      <c r="B353" s="3">
        <f>IFERROR(__xludf.DUMMYFUNCTION("""COMPUTED_VALUE"""),45855.66666666667)</f>
        <v>45855.66667</v>
      </c>
      <c r="C353" s="2">
        <f>IFERROR(__xludf.DUMMYFUNCTION("""COMPUTED_VALUE"""),25.26)</f>
        <v>25.26</v>
      </c>
      <c r="D353" s="2">
        <f t="shared" si="2"/>
        <v>0.01201923077</v>
      </c>
    </row>
    <row r="354">
      <c r="A354" s="1" t="s">
        <v>3</v>
      </c>
      <c r="B354" s="3">
        <f>IFERROR(__xludf.DUMMYFUNCTION("""COMPUTED_VALUE"""),45856.66666666667)</f>
        <v>45856.66667</v>
      </c>
      <c r="C354" s="2">
        <f>IFERROR(__xludf.DUMMYFUNCTION("""COMPUTED_VALUE"""),26.62)</f>
        <v>26.62</v>
      </c>
      <c r="D354" s="2">
        <f t="shared" si="2"/>
        <v>0.05384006334</v>
      </c>
    </row>
    <row r="355">
      <c r="A355" s="1" t="s">
        <v>3</v>
      </c>
      <c r="B355" s="3">
        <f>IFERROR(__xludf.DUMMYFUNCTION("""COMPUTED_VALUE"""),45859.66666666667)</f>
        <v>45859.66667</v>
      </c>
      <c r="C355" s="2">
        <f>IFERROR(__xludf.DUMMYFUNCTION("""COMPUTED_VALUE"""),28.83)</f>
        <v>28.83</v>
      </c>
      <c r="D355" s="2">
        <f t="shared" si="2"/>
        <v>0.0830202855</v>
      </c>
    </row>
    <row r="356">
      <c r="A356" s="1" t="s">
        <v>3</v>
      </c>
      <c r="B356" s="3">
        <f>IFERROR(__xludf.DUMMYFUNCTION("""COMPUTED_VALUE"""),45860.66666666667)</f>
        <v>45860.66667</v>
      </c>
      <c r="C356" s="2">
        <f>IFERROR(__xludf.DUMMYFUNCTION("""COMPUTED_VALUE"""),31.86)</f>
        <v>31.86</v>
      </c>
      <c r="D356" s="2">
        <f t="shared" si="2"/>
        <v>0.1050988554</v>
      </c>
    </row>
    <row r="357">
      <c r="A357" s="1" t="s">
        <v>3</v>
      </c>
      <c r="B357" s="3">
        <f>IFERROR(__xludf.DUMMYFUNCTION("""COMPUTED_VALUE"""),45861.66666666667)</f>
        <v>45861.66667</v>
      </c>
      <c r="C357" s="2">
        <f>IFERROR(__xludf.DUMMYFUNCTION("""COMPUTED_VALUE"""),29.07)</f>
        <v>29.07</v>
      </c>
      <c r="D357" s="2">
        <f t="shared" si="2"/>
        <v>-0.08757062147</v>
      </c>
    </row>
    <row r="358">
      <c r="A358" s="1" t="s">
        <v>3</v>
      </c>
      <c r="B358" s="3">
        <f>IFERROR(__xludf.DUMMYFUNCTION("""COMPUTED_VALUE"""),45862.66666666667)</f>
        <v>45862.66667</v>
      </c>
      <c r="C358" s="2">
        <f>IFERROR(__xludf.DUMMYFUNCTION("""COMPUTED_VALUE"""),28.47)</f>
        <v>28.47</v>
      </c>
      <c r="D358" s="2">
        <f t="shared" si="2"/>
        <v>-0.02063983488</v>
      </c>
    </row>
    <row r="359">
      <c r="A359" s="1" t="s">
        <v>3</v>
      </c>
      <c r="B359" s="3">
        <f>IFERROR(__xludf.DUMMYFUNCTION("""COMPUTED_VALUE"""),45863.66666666667)</f>
        <v>45863.66667</v>
      </c>
      <c r="C359" s="2">
        <f>IFERROR(__xludf.DUMMYFUNCTION("""COMPUTED_VALUE"""),27.23)</f>
        <v>27.23</v>
      </c>
      <c r="D359" s="2">
        <f t="shared" si="2"/>
        <v>-0.0435546189</v>
      </c>
    </row>
    <row r="360">
      <c r="A360" s="1" t="s">
        <v>3</v>
      </c>
      <c r="B360" s="3">
        <f>IFERROR(__xludf.DUMMYFUNCTION("""COMPUTED_VALUE"""),45866.66666666667)</f>
        <v>45866.66667</v>
      </c>
      <c r="C360" s="2">
        <f>IFERROR(__xludf.DUMMYFUNCTION("""COMPUTED_VALUE"""),27.06)</f>
        <v>27.06</v>
      </c>
      <c r="D360" s="2">
        <f t="shared" si="2"/>
        <v>-0.006243114212</v>
      </c>
    </row>
    <row r="361">
      <c r="A361" s="1" t="s">
        <v>3</v>
      </c>
      <c r="B361" s="3">
        <f>IFERROR(__xludf.DUMMYFUNCTION("""COMPUTED_VALUE"""),45867.66666666667)</f>
        <v>45867.66667</v>
      </c>
      <c r="C361" s="2">
        <f>IFERROR(__xludf.DUMMYFUNCTION("""COMPUTED_VALUE"""),24.95)</f>
        <v>24.95</v>
      </c>
      <c r="D361" s="2">
        <f t="shared" si="2"/>
        <v>-0.07797487066</v>
      </c>
    </row>
    <row r="362">
      <c r="A362" s="1" t="s">
        <v>3</v>
      </c>
      <c r="B362" s="3">
        <f>IFERROR(__xludf.DUMMYFUNCTION("""COMPUTED_VALUE"""),45868.66666666667)</f>
        <v>45868.66667</v>
      </c>
      <c r="C362" s="2">
        <f>IFERROR(__xludf.DUMMYFUNCTION("""COMPUTED_VALUE"""),25.81)</f>
        <v>25.81</v>
      </c>
      <c r="D362" s="2">
        <f t="shared" si="2"/>
        <v>0.03446893788</v>
      </c>
    </row>
    <row r="363">
      <c r="A363" s="1" t="s">
        <v>3</v>
      </c>
      <c r="B363" s="3">
        <f>IFERROR(__xludf.DUMMYFUNCTION("""COMPUTED_VALUE"""),45869.66666666667)</f>
        <v>45869.66667</v>
      </c>
      <c r="C363" s="2">
        <f>IFERROR(__xludf.DUMMYFUNCTION("""COMPUTED_VALUE"""),25.66)</f>
        <v>25.66</v>
      </c>
      <c r="D363" s="2">
        <f t="shared" si="2"/>
        <v>-0.005811700891</v>
      </c>
    </row>
    <row r="364">
      <c r="A364" s="1" t="s">
        <v>3</v>
      </c>
      <c r="B364" s="3">
        <f>IFERROR(__xludf.DUMMYFUNCTION("""COMPUTED_VALUE"""),45870.66666666667)</f>
        <v>45870.66667</v>
      </c>
      <c r="C364" s="2">
        <f>IFERROR(__xludf.DUMMYFUNCTION("""COMPUTED_VALUE"""),25.55)</f>
        <v>25.55</v>
      </c>
      <c r="D364" s="2">
        <f t="shared" si="2"/>
        <v>-0.004286827747</v>
      </c>
    </row>
    <row r="365">
      <c r="A365" s="1" t="s">
        <v>3</v>
      </c>
      <c r="B365" s="3">
        <f>IFERROR(__xludf.DUMMYFUNCTION("""COMPUTED_VALUE"""),45873.66666666667)</f>
        <v>45873.66667</v>
      </c>
      <c r="C365" s="2">
        <f>IFERROR(__xludf.DUMMYFUNCTION("""COMPUTED_VALUE"""),25.63)</f>
        <v>25.63</v>
      </c>
      <c r="D365" s="2">
        <f t="shared" si="2"/>
        <v>0.00313111546</v>
      </c>
    </row>
    <row r="366">
      <c r="A366" s="1" t="s">
        <v>3</v>
      </c>
      <c r="B366" s="3">
        <f>IFERROR(__xludf.DUMMYFUNCTION("""COMPUTED_VALUE"""),45874.66666666667)</f>
        <v>45874.66667</v>
      </c>
      <c r="C366" s="2">
        <f>IFERROR(__xludf.DUMMYFUNCTION("""COMPUTED_VALUE"""),26.12)</f>
        <v>26.12</v>
      </c>
      <c r="D366" s="2">
        <f t="shared" si="2"/>
        <v>0.01911822083</v>
      </c>
    </row>
    <row r="367">
      <c r="A367" s="1" t="s">
        <v>3</v>
      </c>
      <c r="B367" s="3">
        <f>IFERROR(__xludf.DUMMYFUNCTION("""COMPUTED_VALUE"""),45875.66666666667)</f>
        <v>45875.66667</v>
      </c>
      <c r="C367" s="2">
        <f>IFERROR(__xludf.DUMMYFUNCTION("""COMPUTED_VALUE"""),25.79)</f>
        <v>25.79</v>
      </c>
      <c r="D367" s="2">
        <f t="shared" si="2"/>
        <v>-0.01263399694</v>
      </c>
    </row>
    <row r="368">
      <c r="A368" s="1" t="s">
        <v>3</v>
      </c>
      <c r="B368" s="3">
        <f>IFERROR(__xludf.DUMMYFUNCTION("""COMPUTED_VALUE"""),45876.66666666667)</f>
        <v>45876.66667</v>
      </c>
      <c r="C368" s="2">
        <f>IFERROR(__xludf.DUMMYFUNCTION("""COMPUTED_VALUE"""),24.42)</f>
        <v>24.42</v>
      </c>
      <c r="D368" s="2">
        <f t="shared" si="2"/>
        <v>-0.05312136487</v>
      </c>
    </row>
    <row r="369">
      <c r="A369" s="1" t="s">
        <v>3</v>
      </c>
      <c r="B369" s="3">
        <f>IFERROR(__xludf.DUMMYFUNCTION("""COMPUTED_VALUE"""),45877.66666666667)</f>
        <v>45877.66667</v>
      </c>
      <c r="C369" s="2">
        <f>IFERROR(__xludf.DUMMYFUNCTION("""COMPUTED_VALUE"""),24.94)</f>
        <v>24.94</v>
      </c>
      <c r="D369" s="2">
        <f t="shared" si="2"/>
        <v>0.02129402129</v>
      </c>
    </row>
    <row r="370">
      <c r="A370" s="1" t="s">
        <v>3</v>
      </c>
      <c r="B370" s="3">
        <f>IFERROR(__xludf.DUMMYFUNCTION("""COMPUTED_VALUE"""),45880.66666666667)</f>
        <v>45880.66667</v>
      </c>
      <c r="C370" s="2">
        <f>IFERROR(__xludf.DUMMYFUNCTION("""COMPUTED_VALUE"""),24.9)</f>
        <v>24.9</v>
      </c>
      <c r="D370" s="2">
        <f t="shared" si="2"/>
        <v>-0.001603849238</v>
      </c>
    </row>
    <row r="371">
      <c r="A371" s="1" t="s">
        <v>3</v>
      </c>
      <c r="B371" s="3">
        <f>IFERROR(__xludf.DUMMYFUNCTION("""COMPUTED_VALUE"""),45881.66666666667)</f>
        <v>45881.66667</v>
      </c>
      <c r="C371" s="2">
        <f>IFERROR(__xludf.DUMMYFUNCTION("""COMPUTED_VALUE"""),25.1)</f>
        <v>25.1</v>
      </c>
      <c r="D371" s="2">
        <f t="shared" si="2"/>
        <v>0.008032128514</v>
      </c>
    </row>
    <row r="372">
      <c r="A372" s="1" t="s">
        <v>3</v>
      </c>
      <c r="B372" s="3">
        <f>IFERROR(__xludf.DUMMYFUNCTION("""COMPUTED_VALUE"""),45882.66666666667)</f>
        <v>45882.66667</v>
      </c>
      <c r="C372" s="2">
        <f>IFERROR(__xludf.DUMMYFUNCTION("""COMPUTED_VALUE"""),26.46)</f>
        <v>26.46</v>
      </c>
      <c r="D372" s="2">
        <f t="shared" si="2"/>
        <v>0.05418326693</v>
      </c>
    </row>
    <row r="373">
      <c r="A373" s="1" t="s">
        <v>3</v>
      </c>
      <c r="B373" s="3">
        <f>IFERROR(__xludf.DUMMYFUNCTION("""COMPUTED_VALUE"""),45883.66666666667)</f>
        <v>45883.66667</v>
      </c>
      <c r="C373" s="2">
        <f>IFERROR(__xludf.DUMMYFUNCTION("""COMPUTED_VALUE"""),25.67)</f>
        <v>25.67</v>
      </c>
      <c r="D373" s="2">
        <f t="shared" si="2"/>
        <v>-0.029856387</v>
      </c>
    </row>
    <row r="374">
      <c r="A374" s="1" t="s">
        <v>3</v>
      </c>
      <c r="B374" s="3">
        <f>IFERROR(__xludf.DUMMYFUNCTION("""COMPUTED_VALUE"""),45884.66666666667)</f>
        <v>45884.66667</v>
      </c>
      <c r="C374" s="2">
        <f>IFERROR(__xludf.DUMMYFUNCTION("""COMPUTED_VALUE"""),30.06)</f>
        <v>30.06</v>
      </c>
      <c r="D374" s="2">
        <f t="shared" si="2"/>
        <v>0.1710167511</v>
      </c>
    </row>
    <row r="375">
      <c r="A375" s="1" t="s">
        <v>3</v>
      </c>
      <c r="B375" s="3">
        <f>IFERROR(__xludf.DUMMYFUNCTION("""COMPUTED_VALUE"""),45887.66666666667)</f>
        <v>45887.66667</v>
      </c>
      <c r="C375" s="2">
        <f>IFERROR(__xludf.DUMMYFUNCTION("""COMPUTED_VALUE"""),31.16)</f>
        <v>31.16</v>
      </c>
      <c r="D375" s="2">
        <f t="shared" si="2"/>
        <v>0.03659347971</v>
      </c>
    </row>
    <row r="376">
      <c r="A376" s="1" t="s">
        <v>3</v>
      </c>
      <c r="B376" s="3">
        <f>IFERROR(__xludf.DUMMYFUNCTION("""COMPUTED_VALUE"""),45888.66666666667)</f>
        <v>45888.66667</v>
      </c>
      <c r="C376" s="2">
        <f>IFERROR(__xludf.DUMMYFUNCTION("""COMPUTED_VALUE"""),31.99)</f>
        <v>31.99</v>
      </c>
      <c r="D376" s="2">
        <f t="shared" si="2"/>
        <v>0.02663671374</v>
      </c>
    </row>
    <row r="377">
      <c r="A377" s="1" t="s">
        <v>3</v>
      </c>
      <c r="B377" s="3">
        <f>IFERROR(__xludf.DUMMYFUNCTION("""COMPUTED_VALUE"""),45889.66666666667)</f>
        <v>45889.66667</v>
      </c>
      <c r="C377" s="2">
        <f>IFERROR(__xludf.DUMMYFUNCTION("""COMPUTED_VALUE"""),32.06)</f>
        <v>32.06</v>
      </c>
      <c r="D377" s="2">
        <f t="shared" si="2"/>
        <v>0.002188183807</v>
      </c>
    </row>
    <row r="378">
      <c r="A378" s="1" t="s">
        <v>3</v>
      </c>
      <c r="B378" s="3">
        <f>IFERROR(__xludf.DUMMYFUNCTION("""COMPUTED_VALUE"""),45890.66666666667)</f>
        <v>45890.66667</v>
      </c>
      <c r="C378" s="2">
        <f>IFERROR(__xludf.DUMMYFUNCTION("""COMPUTED_VALUE"""),30.21)</f>
        <v>30.21</v>
      </c>
      <c r="D378" s="2">
        <f t="shared" si="2"/>
        <v>-0.05770430443</v>
      </c>
    </row>
    <row r="379">
      <c r="A379" s="1" t="s">
        <v>3</v>
      </c>
      <c r="B379" s="3">
        <f>IFERROR(__xludf.DUMMYFUNCTION("""COMPUTED_VALUE"""),45891.66666666667)</f>
        <v>45891.66667</v>
      </c>
      <c r="C379" s="2">
        <f>IFERROR(__xludf.DUMMYFUNCTION("""COMPUTED_VALUE"""),34.3)</f>
        <v>34.3</v>
      </c>
      <c r="D379" s="2">
        <f t="shared" si="2"/>
        <v>0.1353856339</v>
      </c>
    </row>
    <row r="380">
      <c r="A380" s="1" t="s">
        <v>3</v>
      </c>
      <c r="B380" s="3">
        <f>IFERROR(__xludf.DUMMYFUNCTION("""COMPUTED_VALUE"""),45894.66666666667)</f>
        <v>45894.66667</v>
      </c>
      <c r="C380" s="2">
        <f>IFERROR(__xludf.DUMMYFUNCTION("""COMPUTED_VALUE"""),31.99)</f>
        <v>31.99</v>
      </c>
      <c r="D380" s="2">
        <f t="shared" si="2"/>
        <v>-0.06734693878</v>
      </c>
    </row>
    <row r="381">
      <c r="A381" s="1" t="s">
        <v>3</v>
      </c>
      <c r="B381" s="3">
        <f>IFERROR(__xludf.DUMMYFUNCTION("""COMPUTED_VALUE"""),45895.66666666667)</f>
        <v>45895.66667</v>
      </c>
      <c r="C381" s="2">
        <f>IFERROR(__xludf.DUMMYFUNCTION("""COMPUTED_VALUE"""),32.25)</f>
        <v>32.25</v>
      </c>
      <c r="D381" s="2">
        <f t="shared" si="2"/>
        <v>0.008127539856</v>
      </c>
    </row>
    <row r="382">
      <c r="A382" s="1" t="s">
        <v>3</v>
      </c>
      <c r="B382" s="3">
        <f>IFERROR(__xludf.DUMMYFUNCTION("""COMPUTED_VALUE"""),45896.66666666667)</f>
        <v>45896.66667</v>
      </c>
      <c r="C382" s="2">
        <f>IFERROR(__xludf.DUMMYFUNCTION("""COMPUTED_VALUE"""),33.09)</f>
        <v>33.09</v>
      </c>
      <c r="D382" s="2">
        <f t="shared" si="2"/>
        <v>0.02604651163</v>
      </c>
    </row>
    <row r="383">
      <c r="A383" s="1" t="s">
        <v>3</v>
      </c>
      <c r="B383" s="3">
        <f>IFERROR(__xludf.DUMMYFUNCTION("""COMPUTED_VALUE"""),45897.66666666667)</f>
        <v>45897.66667</v>
      </c>
      <c r="C383" s="2">
        <f>IFERROR(__xludf.DUMMYFUNCTION("""COMPUTED_VALUE"""),33.25)</f>
        <v>33.25</v>
      </c>
      <c r="D383" s="2">
        <f t="shared" si="2"/>
        <v>0.004835297673</v>
      </c>
    </row>
    <row r="384">
      <c r="A384" s="1" t="s">
        <v>3</v>
      </c>
      <c r="B384" s="3">
        <f>IFERROR(__xludf.DUMMYFUNCTION("""COMPUTED_VALUE"""),45898.66666666667)</f>
        <v>45898.66667</v>
      </c>
      <c r="C384" s="2">
        <f>IFERROR(__xludf.DUMMYFUNCTION("""COMPUTED_VALUE"""),33.82)</f>
        <v>33.82</v>
      </c>
      <c r="D384" s="2">
        <f t="shared" si="2"/>
        <v>0.01714285714</v>
      </c>
    </row>
    <row r="385">
      <c r="A385" s="1" t="s">
        <v>3</v>
      </c>
      <c r="B385" s="3">
        <f>IFERROR(__xludf.DUMMYFUNCTION("""COMPUTED_VALUE"""),45902.66666666667)</f>
        <v>45902.66667</v>
      </c>
      <c r="C385" s="2">
        <f>IFERROR(__xludf.DUMMYFUNCTION("""COMPUTED_VALUE"""),31.53)</f>
        <v>31.53</v>
      </c>
      <c r="D385" s="2">
        <f t="shared" si="2"/>
        <v>-0.06771141336</v>
      </c>
    </row>
    <row r="386">
      <c r="A386" s="1" t="s">
        <v>3</v>
      </c>
      <c r="B386" s="3">
        <f>IFERROR(__xludf.DUMMYFUNCTION("""COMPUTED_VALUE"""),45903.66666666667)</f>
        <v>45903.66667</v>
      </c>
      <c r="C386" s="2">
        <f>IFERROR(__xludf.DUMMYFUNCTION("""COMPUTED_VALUE"""),33.21)</f>
        <v>33.21</v>
      </c>
      <c r="D386" s="2">
        <f t="shared" si="2"/>
        <v>0.05328258801</v>
      </c>
    </row>
    <row r="387">
      <c r="A387" s="1" t="s">
        <v>3</v>
      </c>
      <c r="B387" s="3">
        <f>IFERROR(__xludf.DUMMYFUNCTION("""COMPUTED_VALUE"""),45904.66666666667)</f>
        <v>45904.66667</v>
      </c>
      <c r="C387" s="2">
        <f>IFERROR(__xludf.DUMMYFUNCTION("""COMPUTED_VALUE"""),34.16)</f>
        <v>34.16</v>
      </c>
      <c r="D387" s="2">
        <f t="shared" si="2"/>
        <v>0.02860584161</v>
      </c>
    </row>
    <row r="388">
      <c r="A388" s="1" t="s">
        <v>3</v>
      </c>
      <c r="B388" s="3">
        <f>IFERROR(__xludf.DUMMYFUNCTION("""COMPUTED_VALUE"""),45905.66666666667)</f>
        <v>45905.66667</v>
      </c>
      <c r="C388" s="2">
        <f>IFERROR(__xludf.DUMMYFUNCTION("""COMPUTED_VALUE"""),34.42)</f>
        <v>34.42</v>
      </c>
      <c r="D388" s="2">
        <f t="shared" si="2"/>
        <v>0.007611241218</v>
      </c>
    </row>
    <row r="389">
      <c r="A389" s="1" t="s">
        <v>3</v>
      </c>
      <c r="B389" s="3">
        <f>IFERROR(__xludf.DUMMYFUNCTION("""COMPUTED_VALUE"""),45908.66666666667)</f>
        <v>45908.66667</v>
      </c>
      <c r="C389" s="2">
        <f>IFERROR(__xludf.DUMMYFUNCTION("""COMPUTED_VALUE"""),33.44)</f>
        <v>33.44</v>
      </c>
      <c r="D389" s="2">
        <f t="shared" si="2"/>
        <v>-0.02847181871</v>
      </c>
    </row>
    <row r="390">
      <c r="A390" s="1" t="s">
        <v>3</v>
      </c>
      <c r="B390" s="3">
        <f>IFERROR(__xludf.DUMMYFUNCTION("""COMPUTED_VALUE"""),45909.66666666667)</f>
        <v>45909.66667</v>
      </c>
      <c r="C390" s="2">
        <f>IFERROR(__xludf.DUMMYFUNCTION("""COMPUTED_VALUE"""),30.04)</f>
        <v>30.04</v>
      </c>
      <c r="D390" s="2">
        <f t="shared" si="2"/>
        <v>-0.1016746411</v>
      </c>
    </row>
    <row r="391">
      <c r="A391" s="1" t="s">
        <v>3</v>
      </c>
      <c r="B391" s="3">
        <f>IFERROR(__xludf.DUMMYFUNCTION("""COMPUTED_VALUE"""),45910.66666666667)</f>
        <v>45910.66667</v>
      </c>
      <c r="C391" s="2">
        <f>IFERROR(__xludf.DUMMYFUNCTION("""COMPUTED_VALUE"""),29.42)</f>
        <v>29.42</v>
      </c>
      <c r="D391" s="2">
        <f t="shared" si="2"/>
        <v>-0.0206391478</v>
      </c>
    </row>
    <row r="392">
      <c r="A392" s="1" t="s">
        <v>3</v>
      </c>
      <c r="B392" s="3">
        <f>IFERROR(__xludf.DUMMYFUNCTION("""COMPUTED_VALUE"""),45911.66666666667)</f>
        <v>45911.66667</v>
      </c>
      <c r="C392" s="2">
        <f>IFERROR(__xludf.DUMMYFUNCTION("""COMPUTED_VALUE"""),29.49)</f>
        <v>29.49</v>
      </c>
      <c r="D392" s="2">
        <f t="shared" si="2"/>
        <v>0.002379333787</v>
      </c>
    </row>
    <row r="393">
      <c r="A393" s="1" t="s">
        <v>3</v>
      </c>
      <c r="B393" s="3">
        <f>IFERROR(__xludf.DUMMYFUNCTION("""COMPUTED_VALUE"""),45912.66666666667)</f>
        <v>45912.66667</v>
      </c>
      <c r="C393" s="2">
        <f>IFERROR(__xludf.DUMMYFUNCTION("""COMPUTED_VALUE"""),28.97)</f>
        <v>28.97</v>
      </c>
      <c r="D393" s="2">
        <f t="shared" si="2"/>
        <v>-0.01763309596</v>
      </c>
    </row>
    <row r="394">
      <c r="A394" s="1" t="s">
        <v>3</v>
      </c>
      <c r="B394" s="3">
        <f>IFERROR(__xludf.DUMMYFUNCTION("""COMPUTED_VALUE"""),45915.66666666667)</f>
        <v>45915.66667</v>
      </c>
      <c r="C394" s="2">
        <f>IFERROR(__xludf.DUMMYFUNCTION("""COMPUTED_VALUE"""),30.59)</f>
        <v>30.59</v>
      </c>
      <c r="D394" s="2">
        <f t="shared" si="2"/>
        <v>0.05591991716</v>
      </c>
    </row>
    <row r="395">
      <c r="A395" s="1" t="s">
        <v>3</v>
      </c>
      <c r="B395" s="3">
        <f>IFERROR(__xludf.DUMMYFUNCTION("""COMPUTED_VALUE"""),45916.66666666667)</f>
        <v>45916.66667</v>
      </c>
      <c r="C395" s="2">
        <f>IFERROR(__xludf.DUMMYFUNCTION("""COMPUTED_VALUE"""),33.11)</f>
        <v>33.11</v>
      </c>
      <c r="D395" s="2">
        <f t="shared" si="2"/>
        <v>0.0823798627</v>
      </c>
    </row>
    <row r="396">
      <c r="A396" s="1" t="s">
        <v>3</v>
      </c>
      <c r="B396" s="3">
        <f>IFERROR(__xludf.DUMMYFUNCTION("""COMPUTED_VALUE"""),45917.66666666667)</f>
        <v>45917.66667</v>
      </c>
      <c r="C396" s="2">
        <f>IFERROR(__xludf.DUMMYFUNCTION("""COMPUTED_VALUE"""),34.11)</f>
        <v>34.11</v>
      </c>
      <c r="D396" s="2">
        <f t="shared" si="2"/>
        <v>0.03020235578</v>
      </c>
    </row>
    <row r="397">
      <c r="A397" s="1" t="s">
        <v>3</v>
      </c>
      <c r="B397" s="3">
        <f>IFERROR(__xludf.DUMMYFUNCTION("""COMPUTED_VALUE"""),45918.66666666667)</f>
        <v>45918.66667</v>
      </c>
      <c r="C397" s="2">
        <f>IFERROR(__xludf.DUMMYFUNCTION("""COMPUTED_VALUE"""),34.71)</f>
        <v>34.71</v>
      </c>
      <c r="D397" s="2">
        <f t="shared" si="2"/>
        <v>0.01759014952</v>
      </c>
    </row>
    <row r="398">
      <c r="A398" s="1" t="s">
        <v>3</v>
      </c>
      <c r="B398" s="3">
        <f>IFERROR(__xludf.DUMMYFUNCTION("""COMPUTED_VALUE"""),45919.66666666667)</f>
        <v>45919.66667</v>
      </c>
      <c r="C398" s="2">
        <f>IFERROR(__xludf.DUMMYFUNCTION("""COMPUTED_VALUE"""),35.45)</f>
        <v>35.45</v>
      </c>
      <c r="D398" s="2">
        <f t="shared" si="2"/>
        <v>0.02131950447</v>
      </c>
    </row>
    <row r="399">
      <c r="A399" s="1" t="s">
        <v>3</v>
      </c>
      <c r="B399" s="3">
        <f>IFERROR(__xludf.DUMMYFUNCTION("""COMPUTED_VALUE"""),45922.66666666667)</f>
        <v>45922.66667</v>
      </c>
      <c r="C399" s="2">
        <f>IFERROR(__xludf.DUMMYFUNCTION("""COMPUTED_VALUE"""),38.58)</f>
        <v>38.58</v>
      </c>
      <c r="D399" s="2">
        <f t="shared" si="2"/>
        <v>0.08829337094</v>
      </c>
    </row>
    <row r="400">
      <c r="A400" s="1" t="s">
        <v>3</v>
      </c>
      <c r="B400" s="3">
        <f>IFERROR(__xludf.DUMMYFUNCTION("""COMPUTED_VALUE"""),45923.66666666667)</f>
        <v>45923.66667</v>
      </c>
      <c r="C400" s="2">
        <f>IFERROR(__xludf.DUMMYFUNCTION("""COMPUTED_VALUE"""),35.93)</f>
        <v>35.93</v>
      </c>
      <c r="D400" s="2">
        <f t="shared" si="2"/>
        <v>-0.06868843961</v>
      </c>
    </row>
    <row r="401">
      <c r="A401" s="1" t="s">
        <v>3</v>
      </c>
      <c r="B401" s="3">
        <f>IFERROR(__xludf.DUMMYFUNCTION("""COMPUTED_VALUE"""),45924.66666666667)</f>
        <v>45924.66667</v>
      </c>
      <c r="C401" s="2">
        <f>IFERROR(__xludf.DUMMYFUNCTION("""COMPUTED_VALUE"""),37.47)</f>
        <v>37.47</v>
      </c>
      <c r="D401" s="2">
        <f t="shared" si="2"/>
        <v>0.04286111884</v>
      </c>
    </row>
    <row r="402">
      <c r="A402" s="1" t="s">
        <v>3</v>
      </c>
      <c r="B402" s="3">
        <f>IFERROR(__xludf.DUMMYFUNCTION("""COMPUTED_VALUE"""),45925.66666666667)</f>
        <v>45925.66667</v>
      </c>
      <c r="C402" s="2">
        <f>IFERROR(__xludf.DUMMYFUNCTION("""COMPUTED_VALUE"""),37.9)</f>
        <v>37.9</v>
      </c>
      <c r="D402" s="2">
        <f t="shared" si="2"/>
        <v>0.01147584734</v>
      </c>
    </row>
    <row r="403">
      <c r="A403" s="1" t="s">
        <v>3</v>
      </c>
      <c r="B403" s="3">
        <f>IFERROR(__xludf.DUMMYFUNCTION("""COMPUTED_VALUE"""),45926.66666666667)</f>
        <v>45926.66667</v>
      </c>
      <c r="C403" s="2">
        <f>IFERROR(__xludf.DUMMYFUNCTION("""COMPUTED_VALUE"""),39.45)</f>
        <v>39.45</v>
      </c>
      <c r="D403" s="2">
        <f t="shared" si="2"/>
        <v>0.04089709763</v>
      </c>
    </row>
    <row r="404">
      <c r="A404" s="1" t="s">
        <v>3</v>
      </c>
      <c r="B404" s="3">
        <f>IFERROR(__xludf.DUMMYFUNCTION("""COMPUTED_VALUE"""),45929.66666666667)</f>
        <v>45929.66667</v>
      </c>
      <c r="C404" s="2">
        <f>IFERROR(__xludf.DUMMYFUNCTION("""COMPUTED_VALUE"""),37.68)</f>
        <v>37.68</v>
      </c>
      <c r="D404" s="2">
        <f t="shared" si="2"/>
        <v>-0.04486692015</v>
      </c>
    </row>
    <row r="405">
      <c r="A405" s="1" t="s">
        <v>3</v>
      </c>
      <c r="B405" s="3">
        <f>IFERROR(__xludf.DUMMYFUNCTION("""COMPUTED_VALUE"""),45930.66666666667)</f>
        <v>45930.66667</v>
      </c>
      <c r="C405" s="2">
        <f>IFERROR(__xludf.DUMMYFUNCTION("""COMPUTED_VALUE"""),37.0)</f>
        <v>37</v>
      </c>
      <c r="D405" s="2">
        <f t="shared" si="2"/>
        <v>-0.01804670913</v>
      </c>
    </row>
    <row r="406">
      <c r="A406" s="1" t="s">
        <v>3</v>
      </c>
      <c r="B406" s="3">
        <f>IFERROR(__xludf.DUMMYFUNCTION("""COMPUTED_VALUE"""),45931.66666666667)</f>
        <v>45931.66667</v>
      </c>
      <c r="C406" s="2">
        <f>IFERROR(__xludf.DUMMYFUNCTION("""COMPUTED_VALUE"""),38.62)</f>
        <v>38.62</v>
      </c>
      <c r="D406" s="2">
        <f t="shared" si="2"/>
        <v>0.04378378378</v>
      </c>
    </row>
    <row r="407">
      <c r="A407" s="1" t="s">
        <v>3</v>
      </c>
      <c r="B407" s="3">
        <f>IFERROR(__xludf.DUMMYFUNCTION("""COMPUTED_VALUE"""),45932.66666666667)</f>
        <v>45932.66667</v>
      </c>
      <c r="C407" s="2">
        <f>IFERROR(__xludf.DUMMYFUNCTION("""COMPUTED_VALUE"""),37.96)</f>
        <v>37.96</v>
      </c>
      <c r="D407" s="2">
        <f t="shared" si="2"/>
        <v>-0.01708959089</v>
      </c>
    </row>
    <row r="408">
      <c r="A408" s="1" t="s">
        <v>3</v>
      </c>
      <c r="B408" s="3">
        <f>IFERROR(__xludf.DUMMYFUNCTION("""COMPUTED_VALUE"""),45933.66666666667)</f>
        <v>45933.66667</v>
      </c>
      <c r="C408" s="2">
        <f>IFERROR(__xludf.DUMMYFUNCTION("""COMPUTED_VALUE"""),36.24)</f>
        <v>36.24</v>
      </c>
      <c r="D408" s="2">
        <f t="shared" si="2"/>
        <v>-0.04531085353</v>
      </c>
    </row>
    <row r="409">
      <c r="A409" s="1" t="s">
        <v>3</v>
      </c>
      <c r="B409" s="3">
        <f>IFERROR(__xludf.DUMMYFUNCTION("""COMPUTED_VALUE"""),45936.66666666667)</f>
        <v>45936.66667</v>
      </c>
      <c r="C409" s="2">
        <f>IFERROR(__xludf.DUMMYFUNCTION("""COMPUTED_VALUE"""),37.09)</f>
        <v>37.09</v>
      </c>
      <c r="D409" s="2">
        <f t="shared" si="2"/>
        <v>0.02345474614</v>
      </c>
    </row>
    <row r="410">
      <c r="A410" s="1" t="s">
        <v>3</v>
      </c>
      <c r="B410" s="3">
        <f>IFERROR(__xludf.DUMMYFUNCTION("""COMPUTED_VALUE"""),45937.66666666667)</f>
        <v>45937.66667</v>
      </c>
      <c r="C410" s="2">
        <f>IFERROR(__xludf.DUMMYFUNCTION("""COMPUTED_VALUE"""),35.55)</f>
        <v>35.55</v>
      </c>
      <c r="D410" s="2">
        <f t="shared" si="2"/>
        <v>-0.04152062551</v>
      </c>
    </row>
    <row r="411">
      <c r="A411" s="1" t="s">
        <v>3</v>
      </c>
      <c r="B411" s="3">
        <f>IFERROR(__xludf.DUMMYFUNCTION("""COMPUTED_VALUE"""),45938.66666666667)</f>
        <v>45938.66667</v>
      </c>
      <c r="C411" s="2">
        <f>IFERROR(__xludf.DUMMYFUNCTION("""COMPUTED_VALUE"""),35.66)</f>
        <v>35.66</v>
      </c>
      <c r="D411" s="2">
        <f t="shared" si="2"/>
        <v>0.003094233474</v>
      </c>
    </row>
    <row r="412">
      <c r="A412" s="1" t="s">
        <v>3</v>
      </c>
      <c r="B412" s="3">
        <f>IFERROR(__xludf.DUMMYFUNCTION("""COMPUTED_VALUE"""),45939.66666666667)</f>
        <v>45939.66667</v>
      </c>
      <c r="C412" s="2">
        <f>IFERROR(__xludf.DUMMYFUNCTION("""COMPUTED_VALUE"""),38.61)</f>
        <v>38.61</v>
      </c>
      <c r="D412" s="2">
        <f t="shared" si="2"/>
        <v>0.08272574313</v>
      </c>
    </row>
    <row r="413">
      <c r="A413" s="1" t="s">
        <v>3</v>
      </c>
      <c r="B413" s="3">
        <f>IFERROR(__xludf.DUMMYFUNCTION("""COMPUTED_VALUE"""),45940.66666666667)</f>
        <v>45940.66667</v>
      </c>
      <c r="C413" s="2">
        <f>IFERROR(__xludf.DUMMYFUNCTION("""COMPUTED_VALUE"""),35.06)</f>
        <v>35.06</v>
      </c>
      <c r="D413" s="2">
        <f t="shared" si="2"/>
        <v>-0.09194509195</v>
      </c>
    </row>
    <row r="414">
      <c r="A414" s="1" t="s">
        <v>3</v>
      </c>
      <c r="B414" s="3">
        <f>IFERROR(__xludf.DUMMYFUNCTION("""COMPUTED_VALUE"""),45943.66666666667)</f>
        <v>45943.66667</v>
      </c>
      <c r="C414" s="2">
        <f>IFERROR(__xludf.DUMMYFUNCTION("""COMPUTED_VALUE"""),36.46)</f>
        <v>36.46</v>
      </c>
      <c r="D414" s="2">
        <f t="shared" si="2"/>
        <v>0.03993154592</v>
      </c>
    </row>
    <row r="415">
      <c r="A415" s="1" t="s">
        <v>3</v>
      </c>
      <c r="B415" s="3">
        <f>IFERROR(__xludf.DUMMYFUNCTION("""COMPUTED_VALUE"""),45944.66666666667)</f>
        <v>45944.66667</v>
      </c>
      <c r="C415" s="2">
        <f>IFERROR(__xludf.DUMMYFUNCTION("""COMPUTED_VALUE"""),37.73)</f>
        <v>37.73</v>
      </c>
      <c r="D415" s="2">
        <f t="shared" si="2"/>
        <v>0.03483269336</v>
      </c>
    </row>
    <row r="416">
      <c r="A416" s="1" t="s">
        <v>3</v>
      </c>
      <c r="B416" s="3">
        <f>IFERROR(__xludf.DUMMYFUNCTION("""COMPUTED_VALUE"""),45945.66666666667)</f>
        <v>45945.66667</v>
      </c>
      <c r="C416" s="2">
        <f>IFERROR(__xludf.DUMMYFUNCTION("""COMPUTED_VALUE"""),40.53)</f>
        <v>40.53</v>
      </c>
      <c r="D416" s="2">
        <f t="shared" si="2"/>
        <v>0.07421150278</v>
      </c>
    </row>
    <row r="417">
      <c r="A417" s="1" t="s">
        <v>3</v>
      </c>
      <c r="B417" s="3">
        <f>IFERROR(__xludf.DUMMYFUNCTION("""COMPUTED_VALUE"""),45946.66666666667)</f>
        <v>45946.66667</v>
      </c>
      <c r="C417" s="2">
        <f>IFERROR(__xludf.DUMMYFUNCTION("""COMPUTED_VALUE"""),40.11)</f>
        <v>40.11</v>
      </c>
      <c r="D417" s="2">
        <f t="shared" si="2"/>
        <v>-0.0103626943</v>
      </c>
    </row>
    <row r="418">
      <c r="A418" s="1" t="s">
        <v>3</v>
      </c>
      <c r="B418" s="3">
        <f>IFERROR(__xludf.DUMMYFUNCTION("""COMPUTED_VALUE"""),45947.66666666667)</f>
        <v>45947.66667</v>
      </c>
      <c r="C418" s="2">
        <f>IFERROR(__xludf.DUMMYFUNCTION("""COMPUTED_VALUE"""),37.02)</f>
        <v>37.02</v>
      </c>
      <c r="D418" s="2">
        <f t="shared" si="2"/>
        <v>-0.0770381451</v>
      </c>
    </row>
    <row r="419">
      <c r="A419" s="1" t="s">
        <v>3</v>
      </c>
      <c r="B419" s="3">
        <f>IFERROR(__xludf.DUMMYFUNCTION("""COMPUTED_VALUE"""),45950.66666666667)</f>
        <v>45950.66667</v>
      </c>
      <c r="C419" s="2">
        <f>IFERROR(__xludf.DUMMYFUNCTION("""COMPUTED_VALUE"""),40.0)</f>
        <v>40</v>
      </c>
      <c r="D419" s="2">
        <f t="shared" si="2"/>
        <v>0.08049702863</v>
      </c>
    </row>
    <row r="420">
      <c r="A420" s="1" t="s">
        <v>3</v>
      </c>
      <c r="B420" s="3">
        <f>IFERROR(__xludf.DUMMYFUNCTION("""COMPUTED_VALUE"""),45951.66666666667)</f>
        <v>45951.66667</v>
      </c>
      <c r="C420" s="2">
        <f>IFERROR(__xludf.DUMMYFUNCTION("""COMPUTED_VALUE"""),38.77)</f>
        <v>38.77</v>
      </c>
      <c r="D420" s="2">
        <f t="shared" si="2"/>
        <v>-0.03075</v>
      </c>
    </row>
    <row r="421">
      <c r="A421" s="1" t="s">
        <v>3</v>
      </c>
      <c r="B421" s="3">
        <f>IFERROR(__xludf.DUMMYFUNCTION("""COMPUTED_VALUE"""),45952.66666666667)</f>
        <v>45952.66667</v>
      </c>
      <c r="C421" s="2">
        <f>IFERROR(__xludf.DUMMYFUNCTION("""COMPUTED_VALUE"""),37.5)</f>
        <v>37.5</v>
      </c>
      <c r="D421" s="2">
        <f t="shared" si="2"/>
        <v>-0.03275728656</v>
      </c>
    </row>
    <row r="422">
      <c r="A422" s="1" t="s">
        <v>3</v>
      </c>
      <c r="B422" s="3">
        <f>IFERROR(__xludf.DUMMYFUNCTION("""COMPUTED_VALUE"""),45953.66666666667)</f>
        <v>45953.66667</v>
      </c>
      <c r="C422" s="2">
        <f>IFERROR(__xludf.DUMMYFUNCTION("""COMPUTED_VALUE"""),37.82)</f>
        <v>37.82</v>
      </c>
      <c r="D422" s="2">
        <f t="shared" si="2"/>
        <v>0.008533333333</v>
      </c>
    </row>
    <row r="423">
      <c r="A423" s="1" t="s">
        <v>3</v>
      </c>
      <c r="B423" s="3">
        <f>IFERROR(__xludf.DUMMYFUNCTION("""COMPUTED_VALUE"""),45954.66666666667)</f>
        <v>45954.66667</v>
      </c>
      <c r="C423" s="2">
        <f>IFERROR(__xludf.DUMMYFUNCTION("""COMPUTED_VALUE"""),39.7)</f>
        <v>39.7</v>
      </c>
      <c r="D423" s="2">
        <f t="shared" si="2"/>
        <v>0.0497091486</v>
      </c>
    </row>
    <row r="424">
      <c r="A424" s="1" t="s">
        <v>3</v>
      </c>
      <c r="B424" s="3">
        <f>IFERROR(__xludf.DUMMYFUNCTION("""COMPUTED_VALUE"""),45957.66666666667)</f>
        <v>45957.66667</v>
      </c>
      <c r="C424" s="2">
        <f>IFERROR(__xludf.DUMMYFUNCTION("""COMPUTED_VALUE"""),39.74)</f>
        <v>39.74</v>
      </c>
      <c r="D424" s="2">
        <f t="shared" si="2"/>
        <v>0.001007556675</v>
      </c>
    </row>
    <row r="425">
      <c r="A425" s="1" t="s">
        <v>3</v>
      </c>
      <c r="B425" s="3">
        <f>IFERROR(__xludf.DUMMYFUNCTION("""COMPUTED_VALUE"""),45958.66666666667)</f>
        <v>45958.66667</v>
      </c>
      <c r="C425" s="2">
        <f>IFERROR(__xludf.DUMMYFUNCTION("""COMPUTED_VALUE"""),37.84)</f>
        <v>37.84</v>
      </c>
      <c r="D425" s="2">
        <f t="shared" si="2"/>
        <v>-0.04781077001</v>
      </c>
    </row>
    <row r="426">
      <c r="A426" s="1" t="s">
        <v>3</v>
      </c>
      <c r="B426" s="3">
        <f>IFERROR(__xludf.DUMMYFUNCTION("""COMPUTED_VALUE"""),45959.66666666667)</f>
        <v>45959.66667</v>
      </c>
      <c r="C426" s="2">
        <f>IFERROR(__xludf.DUMMYFUNCTION("""COMPUTED_VALUE"""),36.3)</f>
        <v>36.3</v>
      </c>
      <c r="D426" s="2">
        <f t="shared" si="2"/>
        <v>-0.04069767442</v>
      </c>
    </row>
    <row r="427">
      <c r="A427" s="1" t="s">
        <v>3</v>
      </c>
      <c r="B427" s="3">
        <f>IFERROR(__xludf.DUMMYFUNCTION("""COMPUTED_VALUE"""),45960.66666666667)</f>
        <v>45960.66667</v>
      </c>
      <c r="C427" s="2">
        <f>IFERROR(__xludf.DUMMYFUNCTION("""COMPUTED_VALUE"""),34.34)</f>
        <v>34.34</v>
      </c>
      <c r="D427" s="2">
        <f t="shared" si="2"/>
        <v>-0.05399449036</v>
      </c>
    </row>
    <row r="428">
      <c r="A428" s="1" t="s">
        <v>3</v>
      </c>
      <c r="B428" s="3">
        <f>IFERROR(__xludf.DUMMYFUNCTION("""COMPUTED_VALUE"""),45961.66666666667)</f>
        <v>45961.66667</v>
      </c>
      <c r="C428" s="2">
        <f>IFERROR(__xludf.DUMMYFUNCTION("""COMPUTED_VALUE"""),35.09)</f>
        <v>35.09</v>
      </c>
      <c r="D428" s="2">
        <f t="shared" si="2"/>
        <v>0.02184041934</v>
      </c>
    </row>
    <row r="429">
      <c r="A429" s="1" t="s">
        <v>3</v>
      </c>
      <c r="B429" s="3">
        <f>IFERROR(__xludf.DUMMYFUNCTION("""COMPUTED_VALUE"""),45964.66666666667)</f>
        <v>45964.66667</v>
      </c>
      <c r="C429" s="2">
        <f>IFERROR(__xludf.DUMMYFUNCTION("""COMPUTED_VALUE"""),32.87)</f>
        <v>32.87</v>
      </c>
      <c r="D429" s="2">
        <f t="shared" si="2"/>
        <v>-0.06326588772</v>
      </c>
    </row>
    <row r="430">
      <c r="A430" s="1" t="s">
        <v>3</v>
      </c>
      <c r="B430" s="3">
        <f>IFERROR(__xludf.DUMMYFUNCTION("""COMPUTED_VALUE"""),45965.66666666667)</f>
        <v>45965.66667</v>
      </c>
      <c r="C430" s="2">
        <f>IFERROR(__xludf.DUMMYFUNCTION("""COMPUTED_VALUE"""),31.82)</f>
        <v>31.82</v>
      </c>
      <c r="D430" s="2">
        <f t="shared" si="2"/>
        <v>-0.0319440219</v>
      </c>
    </row>
    <row r="431">
      <c r="A431" s="1" t="s">
        <v>3</v>
      </c>
      <c r="B431" s="3">
        <f>IFERROR(__xludf.DUMMYFUNCTION("""COMPUTED_VALUE"""),45966.66666666667)</f>
        <v>45966.66667</v>
      </c>
      <c r="C431" s="2">
        <f>IFERROR(__xludf.DUMMYFUNCTION("""COMPUTED_VALUE"""),41.02)</f>
        <v>41.02</v>
      </c>
      <c r="D431" s="2">
        <f t="shared" si="2"/>
        <v>0.2891263356</v>
      </c>
    </row>
    <row r="432">
      <c r="A432" s="1" t="s">
        <v>3</v>
      </c>
      <c r="B432" s="3">
        <f>IFERROR(__xludf.DUMMYFUNCTION("""COMPUTED_VALUE"""),45967.66666666667)</f>
        <v>45967.66667</v>
      </c>
      <c r="C432" s="2">
        <f>IFERROR(__xludf.DUMMYFUNCTION("""COMPUTED_VALUE"""),38.88)</f>
        <v>38.88</v>
      </c>
      <c r="D432" s="2">
        <f t="shared" si="2"/>
        <v>-0.05216967333</v>
      </c>
    </row>
    <row r="433">
      <c r="A433" s="1" t="s">
        <v>3</v>
      </c>
      <c r="B433" s="3">
        <f>IFERROR(__xludf.DUMMYFUNCTION("""COMPUTED_VALUE"""),45968.66666666667)</f>
        <v>45968.66667</v>
      </c>
      <c r="C433" s="2">
        <f>IFERROR(__xludf.DUMMYFUNCTION("""COMPUTED_VALUE"""),40.0)</f>
        <v>40</v>
      </c>
      <c r="D433" s="2">
        <f t="shared" si="2"/>
        <v>0.02880658436</v>
      </c>
    </row>
    <row r="434">
      <c r="A434" s="1" t="s">
        <v>3</v>
      </c>
      <c r="B434" s="3">
        <f>IFERROR(__xludf.DUMMYFUNCTION("""COMPUTED_VALUE"""),45971.66666666667)</f>
        <v>45971.66667</v>
      </c>
      <c r="C434" s="2">
        <f>IFERROR(__xludf.DUMMYFUNCTION("""COMPUTED_VALUE"""),45.38)</f>
        <v>45.38</v>
      </c>
      <c r="D434" s="2">
        <f t="shared" si="2"/>
        <v>0.1345</v>
      </c>
    </row>
    <row r="435">
      <c r="A435" s="1" t="s">
        <v>3</v>
      </c>
      <c r="B435" s="3">
        <f>IFERROR(__xludf.DUMMYFUNCTION("""COMPUTED_VALUE"""),45972.66666666667)</f>
        <v>45972.66667</v>
      </c>
      <c r="C435" s="2">
        <f>IFERROR(__xludf.DUMMYFUNCTION("""COMPUTED_VALUE"""),44.7)</f>
        <v>44.7</v>
      </c>
      <c r="D435" s="2">
        <f t="shared" si="2"/>
        <v>-0.0149845747</v>
      </c>
    </row>
    <row r="436">
      <c r="A436" s="1" t="s">
        <v>3</v>
      </c>
      <c r="B436" s="3">
        <f>IFERROR(__xludf.DUMMYFUNCTION("""COMPUTED_VALUE"""),45973.66666666667)</f>
        <v>45973.66667</v>
      </c>
      <c r="C436" s="2">
        <f>IFERROR(__xludf.DUMMYFUNCTION("""COMPUTED_VALUE"""),42.51)</f>
        <v>42.51</v>
      </c>
      <c r="D436" s="2">
        <f t="shared" si="2"/>
        <v>-0.04899328859</v>
      </c>
    </row>
    <row r="437">
      <c r="A437" s="1" t="s">
        <v>3</v>
      </c>
      <c r="B437" s="3">
        <f>IFERROR(__xludf.DUMMYFUNCTION("""COMPUTED_VALUE"""),45974.66666666667)</f>
        <v>45974.66667</v>
      </c>
      <c r="C437" s="2">
        <f>IFERROR(__xludf.DUMMYFUNCTION("""COMPUTED_VALUE"""),36.42)</f>
        <v>36.42</v>
      </c>
      <c r="D437" s="2">
        <f t="shared" si="2"/>
        <v>-0.1432604093</v>
      </c>
    </row>
    <row r="438">
      <c r="A438" s="1" t="s">
        <v>3</v>
      </c>
      <c r="B438" s="3">
        <f>IFERROR(__xludf.DUMMYFUNCTION("""COMPUTED_VALUE"""),45975.66666666667)</f>
        <v>45975.66667</v>
      </c>
      <c r="C438" s="2">
        <f>IFERROR(__xludf.DUMMYFUNCTION("""COMPUTED_VALUE"""),36.18)</f>
        <v>36.18</v>
      </c>
      <c r="D438" s="2">
        <f t="shared" si="2"/>
        <v>-0.006589785832</v>
      </c>
    </row>
    <row r="439">
      <c r="A439" s="1" t="s">
        <v>3</v>
      </c>
      <c r="B439" s="3">
        <f>IFERROR(__xludf.DUMMYFUNCTION("""COMPUTED_VALUE"""),45978.66666666667)</f>
        <v>45978.66667</v>
      </c>
      <c r="C439" s="2">
        <f>IFERROR(__xludf.DUMMYFUNCTION("""COMPUTED_VALUE"""),34.27)</f>
        <v>34.27</v>
      </c>
      <c r="D439" s="2">
        <f t="shared" si="2"/>
        <v>-0.05279159757</v>
      </c>
    </row>
    <row r="440">
      <c r="A440" s="1" t="s">
        <v>3</v>
      </c>
      <c r="B440" s="3">
        <f>IFERROR(__xludf.DUMMYFUNCTION("""COMPUTED_VALUE"""),45979.66666666667)</f>
        <v>45979.66667</v>
      </c>
      <c r="C440" s="2">
        <f>IFERROR(__xludf.DUMMYFUNCTION("""COMPUTED_VALUE"""),34.8)</f>
        <v>34.8</v>
      </c>
      <c r="D440" s="2">
        <f t="shared" si="2"/>
        <v>0.01546542165</v>
      </c>
    </row>
    <row r="441">
      <c r="A441" s="1" t="s">
        <v>3</v>
      </c>
      <c r="B441" s="3">
        <f>IFERROR(__xludf.DUMMYFUNCTION("""COMPUTED_VALUE"""),45980.66666666667)</f>
        <v>45980.66667</v>
      </c>
      <c r="C441" s="2">
        <f>IFERROR(__xludf.DUMMYFUNCTION("""COMPUTED_VALUE"""),33.46)</f>
        <v>33.46</v>
      </c>
      <c r="D441" s="2">
        <f t="shared" si="2"/>
        <v>-0.03850574713</v>
      </c>
    </row>
    <row r="442">
      <c r="A442" s="1" t="s">
        <v>3</v>
      </c>
      <c r="B442" s="3">
        <f>IFERROR(__xludf.DUMMYFUNCTION("""COMPUTED_VALUE"""),45981.66666666667)</f>
        <v>45981.66667</v>
      </c>
      <c r="C442" s="2">
        <f>IFERROR(__xludf.DUMMYFUNCTION("""COMPUTED_VALUE"""),33.09)</f>
        <v>33.09</v>
      </c>
      <c r="D442" s="2">
        <f t="shared" si="2"/>
        <v>-0.01105797968</v>
      </c>
    </row>
    <row r="443">
      <c r="A443" s="1" t="s">
        <v>3</v>
      </c>
      <c r="B443" s="3">
        <f>IFERROR(__xludf.DUMMYFUNCTION("""COMPUTED_VALUE"""),45982.66666666667)</f>
        <v>45982.66667</v>
      </c>
      <c r="C443" s="2">
        <f>IFERROR(__xludf.DUMMYFUNCTION("""COMPUTED_VALUE"""),34.45)</f>
        <v>34.45</v>
      </c>
      <c r="D443" s="2">
        <f t="shared" si="2"/>
        <v>0.04110003022</v>
      </c>
    </row>
    <row r="444">
      <c r="A444" s="1" t="s">
        <v>3</v>
      </c>
      <c r="B444" s="3">
        <f>IFERROR(__xludf.DUMMYFUNCTION("""COMPUTED_VALUE"""),45985.66666666667)</f>
        <v>45985.66667</v>
      </c>
      <c r="C444" s="2">
        <f>IFERROR(__xludf.DUMMYFUNCTION("""COMPUTED_VALUE"""),34.45)</f>
        <v>34.45</v>
      </c>
      <c r="D444" s="2">
        <f t="shared" si="2"/>
        <v>0</v>
      </c>
    </row>
    <row r="445">
      <c r="A445" s="1" t="s">
        <v>3</v>
      </c>
      <c r="B445" s="3">
        <f>IFERROR(__xludf.DUMMYFUNCTION("""COMPUTED_VALUE"""),45986.66666666667)</f>
        <v>45986.66667</v>
      </c>
      <c r="C445" s="2">
        <f>IFERROR(__xludf.DUMMYFUNCTION("""COMPUTED_VALUE"""),34.99)</f>
        <v>34.99</v>
      </c>
      <c r="D445" s="2">
        <f t="shared" si="2"/>
        <v>0.01567489115</v>
      </c>
    </row>
    <row r="446">
      <c r="A446" s="1" t="s">
        <v>3</v>
      </c>
      <c r="B446" s="3">
        <f>IFERROR(__xludf.DUMMYFUNCTION("""COMPUTED_VALUE"""),45987.66666666667)</f>
        <v>45987.66667</v>
      </c>
      <c r="C446" s="2">
        <f>IFERROR(__xludf.DUMMYFUNCTION("""COMPUTED_VALUE"""),35.47)</f>
        <v>35.47</v>
      </c>
      <c r="D446" s="2">
        <f t="shared" si="2"/>
        <v>0.0137182052</v>
      </c>
    </row>
    <row r="447">
      <c r="A447" s="1" t="s">
        <v>3</v>
      </c>
      <c r="B447" s="3">
        <f>IFERROR(__xludf.DUMMYFUNCTION("""COMPUTED_VALUE"""),45989.54513888889)</f>
        <v>45989.54514</v>
      </c>
      <c r="C447" s="2">
        <f>IFERROR(__xludf.DUMMYFUNCTION("""COMPUTED_VALUE"""),36.53)</f>
        <v>36.53</v>
      </c>
      <c r="D447" s="2">
        <f t="shared" si="2"/>
        <v>0.02988440936</v>
      </c>
    </row>
    <row r="448">
      <c r="A448" s="1" t="s">
        <v>3</v>
      </c>
      <c r="B448" s="3">
        <f>IFERROR(__xludf.DUMMYFUNCTION("""COMPUTED_VALUE"""),45992.66666666667)</f>
        <v>45992.66667</v>
      </c>
      <c r="C448" s="2">
        <f>IFERROR(__xludf.DUMMYFUNCTION("""COMPUTED_VALUE"""),32.92)</f>
        <v>32.92</v>
      </c>
      <c r="D448" s="2">
        <f t="shared" si="2"/>
        <v>-0.0988228853</v>
      </c>
    </row>
    <row r="449">
      <c r="A449" s="1" t="s">
        <v>3</v>
      </c>
      <c r="B449" s="3">
        <f>IFERROR(__xludf.DUMMYFUNCTION("""COMPUTED_VALUE"""),45993.66666666667)</f>
        <v>45993.66667</v>
      </c>
      <c r="C449" s="2">
        <f>IFERROR(__xludf.DUMMYFUNCTION("""COMPUTED_VALUE"""),32.66)</f>
        <v>32.66</v>
      </c>
      <c r="D449" s="2">
        <f t="shared" si="2"/>
        <v>-0.007897934386</v>
      </c>
    </row>
    <row r="450">
      <c r="A450" s="1" t="s">
        <v>3</v>
      </c>
      <c r="B450" s="3">
        <f>IFERROR(__xludf.DUMMYFUNCTION("""COMPUTED_VALUE"""),45994.66666666667)</f>
        <v>45994.66667</v>
      </c>
      <c r="C450" s="2">
        <f>IFERROR(__xludf.DUMMYFUNCTION("""COMPUTED_VALUE"""),31.61)</f>
        <v>31.61</v>
      </c>
      <c r="D450" s="2">
        <f t="shared" si="2"/>
        <v>-0.03214941825</v>
      </c>
    </row>
    <row r="451">
      <c r="A451" s="1" t="s">
        <v>3</v>
      </c>
      <c r="B451" s="3">
        <f>IFERROR(__xludf.DUMMYFUNCTION("""COMPUTED_VALUE"""),45995.66666666667)</f>
        <v>45995.66667</v>
      </c>
      <c r="C451" s="2">
        <f>IFERROR(__xludf.DUMMYFUNCTION("""COMPUTED_VALUE"""),31.94)</f>
        <v>31.94</v>
      </c>
      <c r="D451" s="2">
        <f t="shared" si="2"/>
        <v>0.01043973426</v>
      </c>
    </row>
    <row r="452">
      <c r="A452" s="1" t="s">
        <v>3</v>
      </c>
      <c r="B452" s="3">
        <f>IFERROR(__xludf.DUMMYFUNCTION("""COMPUTED_VALUE"""),45996.66666666667)</f>
        <v>45996.66667</v>
      </c>
      <c r="C452" s="2">
        <f>IFERROR(__xludf.DUMMYFUNCTION("""COMPUTED_VALUE"""),29.52)</f>
        <v>29.52</v>
      </c>
      <c r="D452" s="2">
        <f t="shared" si="2"/>
        <v>-0.07576706324</v>
      </c>
    </row>
    <row r="453">
      <c r="A453" s="1" t="s">
        <v>3</v>
      </c>
      <c r="B453" s="3">
        <f>IFERROR(__xludf.DUMMYFUNCTION("""COMPUTED_VALUE"""),45999.66666666667)</f>
        <v>45999.66667</v>
      </c>
      <c r="C453" s="2">
        <f>IFERROR(__xludf.DUMMYFUNCTION("""COMPUTED_VALUE"""),30.43)</f>
        <v>30.43</v>
      </c>
      <c r="D453" s="2">
        <f t="shared" si="2"/>
        <v>0.03082655827</v>
      </c>
    </row>
    <row r="454">
      <c r="A454" s="1" t="s">
        <v>3</v>
      </c>
      <c r="B454" s="3">
        <f>IFERROR(__xludf.DUMMYFUNCTION("""COMPUTED_VALUE"""),46000.66666666667)</f>
        <v>46000.66667</v>
      </c>
      <c r="C454" s="2">
        <f>IFERROR(__xludf.DUMMYFUNCTION("""COMPUTED_VALUE"""),30.26)</f>
        <v>30.26</v>
      </c>
      <c r="D454" s="2">
        <f t="shared" si="2"/>
        <v>-0.005586592179</v>
      </c>
    </row>
    <row r="455">
      <c r="A455" s="1" t="s">
        <v>3</v>
      </c>
      <c r="B455" s="3">
        <f>IFERROR(__xludf.DUMMYFUNCTION("""COMPUTED_VALUE"""),46001.66666666667)</f>
        <v>46001.66667</v>
      </c>
      <c r="C455" s="2">
        <f>IFERROR(__xludf.DUMMYFUNCTION("""COMPUTED_VALUE"""),31.56)</f>
        <v>31.56</v>
      </c>
      <c r="D455" s="2">
        <f t="shared" si="2"/>
        <v>0.04296100463</v>
      </c>
    </row>
    <row r="456">
      <c r="A456" s="1" t="s">
        <v>3</v>
      </c>
      <c r="B456" s="3">
        <f>IFERROR(__xludf.DUMMYFUNCTION("""COMPUTED_VALUE"""),46002.66666666667)</f>
        <v>46002.66667</v>
      </c>
      <c r="C456" s="2">
        <f>IFERROR(__xludf.DUMMYFUNCTION("""COMPUTED_VALUE"""),32.02)</f>
        <v>32.02</v>
      </c>
      <c r="D456" s="2">
        <f t="shared" si="2"/>
        <v>0.01457541191</v>
      </c>
    </row>
    <row r="457">
      <c r="A457" s="1" t="s">
        <v>3</v>
      </c>
      <c r="B457" s="3">
        <f>IFERROR(__xludf.DUMMYFUNCTION("""COMPUTED_VALUE"""),46003.66666666667)</f>
        <v>46003.66667</v>
      </c>
      <c r="C457" s="2">
        <f>IFERROR(__xludf.DUMMYFUNCTION("""COMPUTED_VALUE"""),29.53)</f>
        <v>29.53</v>
      </c>
      <c r="D457" s="2">
        <f t="shared" si="2"/>
        <v>-0.07776389756</v>
      </c>
    </row>
    <row r="458">
      <c r="A458" s="1" t="s">
        <v>3</v>
      </c>
      <c r="B458" s="3">
        <f>IFERROR(__xludf.DUMMYFUNCTION("""COMPUTED_VALUE"""),46006.66666666667)</f>
        <v>46006.66667</v>
      </c>
      <c r="C458" s="2">
        <f>IFERROR(__xludf.DUMMYFUNCTION("""COMPUTED_VALUE"""),28.54)</f>
        <v>28.54</v>
      </c>
      <c r="D458" s="2">
        <f t="shared" si="2"/>
        <v>-0.03352522858</v>
      </c>
    </row>
    <row r="459">
      <c r="A459" s="1" t="s">
        <v>3</v>
      </c>
      <c r="B459" s="3">
        <f>IFERROR(__xludf.DUMMYFUNCTION("""COMPUTED_VALUE"""),46007.66666666667)</f>
        <v>46007.66667</v>
      </c>
      <c r="C459" s="2">
        <f>IFERROR(__xludf.DUMMYFUNCTION("""COMPUTED_VALUE"""),29.48)</f>
        <v>29.48</v>
      </c>
      <c r="D459" s="2">
        <f t="shared" si="2"/>
        <v>0.03293622985</v>
      </c>
    </row>
    <row r="460">
      <c r="A460" s="1" t="s">
        <v>3</v>
      </c>
      <c r="B460" s="3">
        <f>IFERROR(__xludf.DUMMYFUNCTION("""COMPUTED_VALUE"""),46008.66666666667)</f>
        <v>46008.66667</v>
      </c>
      <c r="C460" s="2">
        <f>IFERROR(__xludf.DUMMYFUNCTION("""COMPUTED_VALUE"""),28.92)</f>
        <v>28.92</v>
      </c>
      <c r="D460" s="2">
        <f t="shared" si="2"/>
        <v>-0.01899592944</v>
      </c>
    </row>
    <row r="461">
      <c r="A461" s="1" t="s">
        <v>3</v>
      </c>
      <c r="B461" s="3">
        <f>IFERROR(__xludf.DUMMYFUNCTION("""COMPUTED_VALUE"""),46009.66666666667)</f>
        <v>46009.66667</v>
      </c>
      <c r="C461" s="2">
        <f>IFERROR(__xludf.DUMMYFUNCTION("""COMPUTED_VALUE"""),28.47)</f>
        <v>28.47</v>
      </c>
      <c r="D461" s="2">
        <f t="shared" si="2"/>
        <v>-0.01556016598</v>
      </c>
    </row>
    <row r="462">
      <c r="A462" s="1" t="s">
        <v>3</v>
      </c>
      <c r="B462" s="3">
        <f>IFERROR(__xludf.DUMMYFUNCTION("""COMPUTED_VALUE"""),46010.66666666667)</f>
        <v>46010.66667</v>
      </c>
      <c r="C462" s="2">
        <f>IFERROR(__xludf.DUMMYFUNCTION("""COMPUTED_VALUE"""),29.06)</f>
        <v>29.06</v>
      </c>
      <c r="D462" s="2">
        <f t="shared" si="2"/>
        <v>0.02072356867</v>
      </c>
    </row>
    <row r="463">
      <c r="A463" s="1" t="s">
        <v>3</v>
      </c>
      <c r="B463" s="3">
        <f>IFERROR(__xludf.DUMMYFUNCTION("""COMPUTED_VALUE"""),46013.66666666667)</f>
        <v>46013.66667</v>
      </c>
      <c r="C463" s="2">
        <f>IFERROR(__xludf.DUMMYFUNCTION("""COMPUTED_VALUE"""),30.91)</f>
        <v>30.91</v>
      </c>
      <c r="D463" s="2">
        <f t="shared" si="2"/>
        <v>0.06366139023</v>
      </c>
    </row>
    <row r="464">
      <c r="A464" s="1" t="s">
        <v>3</v>
      </c>
      <c r="B464" s="3">
        <f>IFERROR(__xludf.DUMMYFUNCTION("""COMPUTED_VALUE"""),46014.66666666667)</f>
        <v>46014.66667</v>
      </c>
      <c r="C464" s="2">
        <f>IFERROR(__xludf.DUMMYFUNCTION("""COMPUTED_VALUE"""),30.48)</f>
        <v>30.48</v>
      </c>
      <c r="D464" s="2">
        <f t="shared" si="2"/>
        <v>-0.01391135555</v>
      </c>
    </row>
    <row r="465">
      <c r="A465" s="1" t="s">
        <v>3</v>
      </c>
      <c r="B465" s="3">
        <f>IFERROR(__xludf.DUMMYFUNCTION("""COMPUTED_VALUE"""),46015.54513888889)</f>
        <v>46015.54514</v>
      </c>
      <c r="C465" s="2">
        <f>IFERROR(__xludf.DUMMYFUNCTION("""COMPUTED_VALUE"""),30.74)</f>
        <v>30.74</v>
      </c>
      <c r="D465" s="2">
        <f t="shared" si="2"/>
        <v>0.008530183727</v>
      </c>
    </row>
    <row r="466">
      <c r="A466" s="1" t="s">
        <v>3</v>
      </c>
      <c r="B466" s="3">
        <f>IFERROR(__xludf.DUMMYFUNCTION("""COMPUTED_VALUE"""),46017.66666666667)</f>
        <v>46017.66667</v>
      </c>
      <c r="C466" s="2">
        <f>IFERROR(__xludf.DUMMYFUNCTION("""COMPUTED_VALUE"""),30.45)</f>
        <v>30.45</v>
      </c>
      <c r="D466" s="2">
        <f t="shared" si="2"/>
        <v>-0.009433962264</v>
      </c>
    </row>
    <row r="467">
      <c r="A467" s="1" t="s">
        <v>3</v>
      </c>
      <c r="B467" s="3">
        <f>IFERROR(__xludf.DUMMYFUNCTION("""COMPUTED_VALUE"""),46020.66666666667)</f>
        <v>46020.66667</v>
      </c>
      <c r="C467" s="2">
        <f>IFERROR(__xludf.DUMMYFUNCTION("""COMPUTED_VALUE"""),29.19)</f>
        <v>29.19</v>
      </c>
      <c r="D467" s="2">
        <f t="shared" si="2"/>
        <v>-0.04137931034</v>
      </c>
    </row>
    <row r="468">
      <c r="A468" s="1" t="s">
        <v>3</v>
      </c>
      <c r="B468" s="3">
        <f>IFERROR(__xludf.DUMMYFUNCTION("""COMPUTED_VALUE"""),46021.66666666667)</f>
        <v>46021.66667</v>
      </c>
      <c r="C468" s="2">
        <f>IFERROR(__xludf.DUMMYFUNCTION("""COMPUTED_VALUE"""),29.02)</f>
        <v>29.02</v>
      </c>
      <c r="D468" s="2">
        <f t="shared" si="2"/>
        <v>-0.005823912299</v>
      </c>
    </row>
    <row r="469">
      <c r="A469" s="1" t="s">
        <v>3</v>
      </c>
      <c r="B469" s="3">
        <f>IFERROR(__xludf.DUMMYFUNCTION("""COMPUTED_VALUE"""),46022.66666666667)</f>
        <v>46022.66667</v>
      </c>
      <c r="C469" s="2">
        <f>IFERROR(__xludf.DUMMYFUNCTION("""COMPUTED_VALUE"""),28.85)</f>
        <v>28.85</v>
      </c>
      <c r="D469" s="2">
        <f t="shared" si="2"/>
        <v>-0.005858028946</v>
      </c>
    </row>
    <row r="470">
      <c r="A470" s="1" t="s">
        <v>3</v>
      </c>
      <c r="B470" s="3">
        <f>IFERROR(__xludf.DUMMYFUNCTION("""COMPUTED_VALUE"""),46024.66666666667)</f>
        <v>46024.66667</v>
      </c>
      <c r="C470" s="2">
        <f>IFERROR(__xludf.DUMMYFUNCTION("""COMPUTED_VALUE"""),31.36)</f>
        <v>31.36</v>
      </c>
      <c r="D470" s="2">
        <f t="shared" si="2"/>
        <v>0.0870017331</v>
      </c>
    </row>
    <row r="471">
      <c r="A471" s="1" t="s">
        <v>3</v>
      </c>
      <c r="B471" s="3">
        <f>IFERROR(__xludf.DUMMYFUNCTION("""COMPUTED_VALUE"""),46027.66666666667)</f>
        <v>46027.66667</v>
      </c>
      <c r="C471" s="2">
        <f>IFERROR(__xludf.DUMMYFUNCTION("""COMPUTED_VALUE"""),31.26)</f>
        <v>31.26</v>
      </c>
      <c r="D471" s="2">
        <f t="shared" si="2"/>
        <v>-0.00318877551</v>
      </c>
    </row>
    <row r="472">
      <c r="A472" s="1" t="s">
        <v>3</v>
      </c>
      <c r="B472" s="3">
        <f>IFERROR(__xludf.DUMMYFUNCTION("""COMPUTED_VALUE"""),46028.66666666667)</f>
        <v>46028.66667</v>
      </c>
      <c r="C472" s="2">
        <f>IFERROR(__xludf.DUMMYFUNCTION("""COMPUTED_VALUE"""),30.78)</f>
        <v>30.78</v>
      </c>
      <c r="D472" s="2">
        <f t="shared" si="2"/>
        <v>-0.01535508637</v>
      </c>
    </row>
    <row r="473">
      <c r="A473" s="1" t="s">
        <v>3</v>
      </c>
      <c r="B473" s="3">
        <f>IFERROR(__xludf.DUMMYFUNCTION("""COMPUTED_VALUE"""),46029.66666666667)</f>
        <v>46029.66667</v>
      </c>
      <c r="C473" s="2">
        <f>IFERROR(__xludf.DUMMYFUNCTION("""COMPUTED_VALUE"""),30.52)</f>
        <v>30.52</v>
      </c>
      <c r="D473" s="2">
        <f t="shared" si="2"/>
        <v>-0.008447043535</v>
      </c>
    </row>
    <row r="474">
      <c r="A474" s="1" t="s">
        <v>3</v>
      </c>
      <c r="B474" s="3">
        <f>IFERROR(__xludf.DUMMYFUNCTION("""COMPUTED_VALUE"""),46030.66666666667)</f>
        <v>46030.66667</v>
      </c>
      <c r="C474" s="2">
        <f>IFERROR(__xludf.DUMMYFUNCTION("""COMPUTED_VALUE"""),30.26)</f>
        <v>30.26</v>
      </c>
      <c r="D474" s="2">
        <f t="shared" si="2"/>
        <v>-0.008519003932</v>
      </c>
    </row>
    <row r="475">
      <c r="A475" s="1" t="s">
        <v>3</v>
      </c>
      <c r="B475" s="3">
        <f>IFERROR(__xludf.DUMMYFUNCTION("""COMPUTED_VALUE"""),46031.66666666667)</f>
        <v>46031.66667</v>
      </c>
      <c r="C475" s="2">
        <f>IFERROR(__xludf.DUMMYFUNCTION("""COMPUTED_VALUE"""),32.89)</f>
        <v>32.89</v>
      </c>
      <c r="D475" s="2">
        <f t="shared" si="2"/>
        <v>0.08691341705</v>
      </c>
    </row>
    <row r="476">
      <c r="A476" s="1" t="s">
        <v>3</v>
      </c>
      <c r="B476" s="3">
        <f>IFERROR(__xludf.DUMMYFUNCTION("""COMPUTED_VALUE"""),46034.66666666667)</f>
        <v>46034.66667</v>
      </c>
      <c r="C476" s="2">
        <f>IFERROR(__xludf.DUMMYFUNCTION("""COMPUTED_VALUE"""),35.31)</f>
        <v>35.31</v>
      </c>
      <c r="D476" s="2">
        <f t="shared" si="2"/>
        <v>0.07357859532</v>
      </c>
    </row>
    <row r="477">
      <c r="A477" s="1" t="s">
        <v>3</v>
      </c>
      <c r="B477" s="3">
        <f>IFERROR(__xludf.DUMMYFUNCTION("""COMPUTED_VALUE"""),46035.66666666667)</f>
        <v>46035.66667</v>
      </c>
      <c r="C477" s="2">
        <f>IFERROR(__xludf.DUMMYFUNCTION("""COMPUTED_VALUE"""),34.31)</f>
        <v>34.31</v>
      </c>
      <c r="D477" s="2">
        <f t="shared" si="2"/>
        <v>-0.02832058907</v>
      </c>
    </row>
    <row r="478">
      <c r="A478" s="1" t="s">
        <v>3</v>
      </c>
      <c r="B478" s="3">
        <f>IFERROR(__xludf.DUMMYFUNCTION("""COMPUTED_VALUE"""),46036.66666666667)</f>
        <v>46036.66667</v>
      </c>
      <c r="C478" s="2">
        <f>IFERROR(__xludf.DUMMYFUNCTION("""COMPUTED_VALUE"""),34.78)</f>
        <v>34.78</v>
      </c>
      <c r="D478" s="2">
        <f t="shared" si="2"/>
        <v>0.01369863014</v>
      </c>
    </row>
    <row r="479">
      <c r="A479" s="1" t="s">
        <v>3</v>
      </c>
      <c r="B479" s="3">
        <f>IFERROR(__xludf.DUMMYFUNCTION("""COMPUTED_VALUE"""),46037.66666666667)</f>
        <v>46037.66667</v>
      </c>
      <c r="C479" s="2">
        <f>IFERROR(__xludf.DUMMYFUNCTION("""COMPUTED_VALUE"""),33.84)</f>
        <v>33.84</v>
      </c>
      <c r="D479" s="2">
        <f t="shared" si="2"/>
        <v>-0.02702702703</v>
      </c>
    </row>
    <row r="480">
      <c r="A480" s="1" t="s">
        <v>3</v>
      </c>
      <c r="B480" s="3">
        <f>IFERROR(__xludf.DUMMYFUNCTION("""COMPUTED_VALUE"""),46038.66666666667)</f>
        <v>46038.66667</v>
      </c>
      <c r="C480" s="2">
        <f>IFERROR(__xludf.DUMMYFUNCTION("""COMPUTED_VALUE"""),33.91)</f>
        <v>33.91</v>
      </c>
      <c r="D480" s="2">
        <f t="shared" si="2"/>
        <v>0.00206855792</v>
      </c>
    </row>
    <row r="481">
      <c r="A481" s="1" t="s">
        <v>3</v>
      </c>
      <c r="B481" s="3">
        <f>IFERROR(__xludf.DUMMYFUNCTION("""COMPUTED_VALUE"""),46042.66666666667)</f>
        <v>46042.66667</v>
      </c>
      <c r="C481" s="2">
        <f>IFERROR(__xludf.DUMMYFUNCTION("""COMPUTED_VALUE"""),32.49)</f>
        <v>32.49</v>
      </c>
      <c r="D481" s="2">
        <f t="shared" si="2"/>
        <v>-0.04187555293</v>
      </c>
    </row>
    <row r="482">
      <c r="A482" s="1" t="s">
        <v>3</v>
      </c>
      <c r="B482" s="3">
        <f>IFERROR(__xludf.DUMMYFUNCTION("""COMPUTED_VALUE"""),46043.66666666667)</f>
        <v>46043.66667</v>
      </c>
      <c r="C482" s="2">
        <f>IFERROR(__xludf.DUMMYFUNCTION("""COMPUTED_VALUE"""),33.34)</f>
        <v>33.34</v>
      </c>
      <c r="D482" s="2">
        <f t="shared" si="2"/>
        <v>0.02616189597</v>
      </c>
    </row>
    <row r="483">
      <c r="A483" s="1" t="s">
        <v>3</v>
      </c>
      <c r="B483" s="3">
        <f>IFERROR(__xludf.DUMMYFUNCTION("""COMPUTED_VALUE"""),46044.66666666667)</f>
        <v>46044.66667</v>
      </c>
      <c r="C483" s="2">
        <f>IFERROR(__xludf.DUMMYFUNCTION("""COMPUTED_VALUE"""),34.54)</f>
        <v>34.54</v>
      </c>
      <c r="D483" s="2">
        <f t="shared" si="2"/>
        <v>0.03599280144</v>
      </c>
    </row>
    <row r="484">
      <c r="A484" s="1" t="s">
        <v>3</v>
      </c>
      <c r="B484" s="3">
        <f>IFERROR(__xludf.DUMMYFUNCTION("""COMPUTED_VALUE"""),46045.66666666667)</f>
        <v>46045.66667</v>
      </c>
      <c r="C484" s="2">
        <f>IFERROR(__xludf.DUMMYFUNCTION("""COMPUTED_VALUE"""),34.6)</f>
        <v>34.6</v>
      </c>
      <c r="D484" s="2">
        <f t="shared" si="2"/>
        <v>0.001737116387</v>
      </c>
    </row>
    <row r="485">
      <c r="A485" s="1" t="s">
        <v>3</v>
      </c>
      <c r="B485" s="3">
        <f>IFERROR(__xludf.DUMMYFUNCTION("""COMPUTED_VALUE"""),46048.66666666667)</f>
        <v>46048.66667</v>
      </c>
      <c r="C485" s="2">
        <f>IFERROR(__xludf.DUMMYFUNCTION("""COMPUTED_VALUE"""),34.41)</f>
        <v>34.41</v>
      </c>
      <c r="D485" s="2">
        <f t="shared" si="2"/>
        <v>-0.00549132948</v>
      </c>
    </row>
    <row r="486">
      <c r="A486" s="1" t="s">
        <v>3</v>
      </c>
      <c r="B486" s="3">
        <f>IFERROR(__xludf.DUMMYFUNCTION("""COMPUTED_VALUE"""),46049.66666666667)</f>
        <v>46049.66667</v>
      </c>
      <c r="C486" s="2">
        <f>IFERROR(__xludf.DUMMYFUNCTION("""COMPUTED_VALUE"""),34.81)</f>
        <v>34.81</v>
      </c>
      <c r="D486" s="2">
        <f t="shared" si="2"/>
        <v>0.01162452775</v>
      </c>
    </row>
    <row r="487">
      <c r="A487" s="1" t="s">
        <v>3</v>
      </c>
      <c r="B487" s="3">
        <f>IFERROR(__xludf.DUMMYFUNCTION("""COMPUTED_VALUE"""),46050.66666666667)</f>
        <v>46050.66667</v>
      </c>
      <c r="C487" s="2">
        <f>IFERROR(__xludf.DUMMYFUNCTION("""COMPUTED_VALUE"""),35.8)</f>
        <v>35.8</v>
      </c>
      <c r="D487" s="2">
        <f t="shared" si="2"/>
        <v>0.02844010342</v>
      </c>
    </row>
    <row r="488">
      <c r="A488" s="1" t="s">
        <v>3</v>
      </c>
      <c r="B488" s="3">
        <f>IFERROR(__xludf.DUMMYFUNCTION("""COMPUTED_VALUE"""),46051.66666666667)</f>
        <v>46051.66667</v>
      </c>
      <c r="C488" s="2">
        <f>IFERROR(__xludf.DUMMYFUNCTION("""COMPUTED_VALUE"""),34.04)</f>
        <v>34.04</v>
      </c>
      <c r="D488" s="2">
        <f t="shared" si="2"/>
        <v>-0.04916201117</v>
      </c>
    </row>
    <row r="489">
      <c r="A489" s="1" t="s">
        <v>3</v>
      </c>
      <c r="B489" s="3">
        <f>IFERROR(__xludf.DUMMYFUNCTION("""COMPUTED_VALUE"""),46052.66666666667)</f>
        <v>46052.66667</v>
      </c>
      <c r="C489" s="2">
        <f>IFERROR(__xludf.DUMMYFUNCTION("""COMPUTED_VALUE"""),30.95)</f>
        <v>30.95</v>
      </c>
      <c r="D489" s="2">
        <f t="shared" si="2"/>
        <v>-0.09077555817</v>
      </c>
    </row>
    <row r="490">
      <c r="A490" s="1" t="s">
        <v>3</v>
      </c>
      <c r="B490" s="3">
        <f>IFERROR(__xludf.DUMMYFUNCTION("""COMPUTED_VALUE"""),46055.66666666667)</f>
        <v>46055.66667</v>
      </c>
      <c r="C490" s="2">
        <f>IFERROR(__xludf.DUMMYFUNCTION("""COMPUTED_VALUE"""),30.64)</f>
        <v>30.64</v>
      </c>
      <c r="D490" s="2">
        <f t="shared" si="2"/>
        <v>-0.01001615509</v>
      </c>
    </row>
    <row r="491">
      <c r="A491" s="1" t="s">
        <v>3</v>
      </c>
      <c r="B491" s="3">
        <f>IFERROR(__xludf.DUMMYFUNCTION("""COMPUTED_VALUE"""),46056.66666666667)</f>
        <v>46056.66667</v>
      </c>
      <c r="C491" s="2">
        <f>IFERROR(__xludf.DUMMYFUNCTION("""COMPUTED_VALUE"""),30.97)</f>
        <v>30.97</v>
      </c>
      <c r="D491" s="2">
        <f t="shared" si="2"/>
        <v>0.01077023499</v>
      </c>
    </row>
    <row r="492">
      <c r="A492" s="1" t="s">
        <v>3</v>
      </c>
      <c r="B492" s="3">
        <f>IFERROR(__xludf.DUMMYFUNCTION("""COMPUTED_VALUE"""),46057.66666666667)</f>
        <v>46057.66667</v>
      </c>
      <c r="C492" s="2">
        <f>IFERROR(__xludf.DUMMYFUNCTION("""COMPUTED_VALUE"""),35.04)</f>
        <v>35.04</v>
      </c>
      <c r="D492" s="2">
        <f t="shared" si="2"/>
        <v>0.1314175008</v>
      </c>
    </row>
    <row r="493">
      <c r="A493" s="1" t="s">
        <v>3</v>
      </c>
      <c r="B493" s="3">
        <f>IFERROR(__xludf.DUMMYFUNCTION("""COMPUTED_VALUE"""),46058.66666666667)</f>
        <v>46058.66667</v>
      </c>
      <c r="C493" s="2">
        <f>IFERROR(__xludf.DUMMYFUNCTION("""COMPUTED_VALUE"""),33.28)</f>
        <v>33.28</v>
      </c>
      <c r="D493" s="2">
        <f t="shared" si="2"/>
        <v>-0.0502283105</v>
      </c>
    </row>
    <row r="494">
      <c r="A494" s="1" t="s">
        <v>3</v>
      </c>
      <c r="B494" s="3">
        <f>IFERROR(__xludf.DUMMYFUNCTION("""COMPUTED_VALUE"""),46059.66666666667)</f>
        <v>46059.66667</v>
      </c>
      <c r="C494" s="2">
        <f>IFERROR(__xludf.DUMMYFUNCTION("""COMPUTED_VALUE"""),35.92)</f>
        <v>35.92</v>
      </c>
      <c r="D494" s="2">
        <f t="shared" si="2"/>
        <v>0.07932692308</v>
      </c>
    </row>
    <row r="495">
      <c r="A495" s="1" t="s">
        <v>3</v>
      </c>
      <c r="B495" s="3">
        <f>IFERROR(__xludf.DUMMYFUNCTION("""COMPUTED_VALUE"""),46062.66666666667)</f>
        <v>46062.66667</v>
      </c>
      <c r="C495" s="2">
        <f>IFERROR(__xludf.DUMMYFUNCTION("""COMPUTED_VALUE"""),36.8)</f>
        <v>36.8</v>
      </c>
      <c r="D495" s="2">
        <f t="shared" si="2"/>
        <v>0.02449888641</v>
      </c>
    </row>
    <row r="496">
      <c r="A496" s="1" t="s">
        <v>3</v>
      </c>
      <c r="B496" s="3">
        <f>IFERROR(__xludf.DUMMYFUNCTION("""COMPUTED_VALUE"""),46063.66666666667)</f>
        <v>46063.66667</v>
      </c>
      <c r="C496" s="2">
        <f>IFERROR(__xludf.DUMMYFUNCTION("""COMPUTED_VALUE"""),36.79)</f>
        <v>36.79</v>
      </c>
      <c r="D496" s="2">
        <f t="shared" si="2"/>
        <v>-0.0002717391304</v>
      </c>
    </row>
    <row r="497">
      <c r="A497" s="1" t="s">
        <v>3</v>
      </c>
      <c r="B497" s="3">
        <f>IFERROR(__xludf.DUMMYFUNCTION("""COMPUTED_VALUE"""),46064.66666666667)</f>
        <v>46064.66667</v>
      </c>
      <c r="C497" s="2">
        <f>IFERROR(__xludf.DUMMYFUNCTION("""COMPUTED_VALUE"""),36.33)</f>
        <v>36.33</v>
      </c>
      <c r="D497" s="2">
        <f t="shared" si="2"/>
        <v>-0.01250339766</v>
      </c>
    </row>
    <row r="498">
      <c r="A498" s="1" t="s">
        <v>3</v>
      </c>
      <c r="B498" s="3">
        <f>IFERROR(__xludf.DUMMYFUNCTION("""COMPUTED_VALUE"""),46065.66666666667)</f>
        <v>46065.66667</v>
      </c>
      <c r="C498" s="2">
        <f>IFERROR(__xludf.DUMMYFUNCTION("""COMPUTED_VALUE"""),34.41)</f>
        <v>34.41</v>
      </c>
      <c r="D498" s="2">
        <f t="shared" si="2"/>
        <v>-0.05284888522</v>
      </c>
    </row>
    <row r="499">
      <c r="A499" s="1" t="s">
        <v>3</v>
      </c>
      <c r="B499" s="3">
        <f>IFERROR(__xludf.DUMMYFUNCTION("""COMPUTED_VALUE"""),46066.66666666667)</f>
        <v>46066.66667</v>
      </c>
      <c r="C499" s="2">
        <f>IFERROR(__xludf.DUMMYFUNCTION("""COMPUTED_VALUE"""),35.53)</f>
        <v>35.53</v>
      </c>
      <c r="D499" s="2">
        <f t="shared" si="2"/>
        <v>0.03254867771</v>
      </c>
    </row>
    <row r="500">
      <c r="A500" s="1" t="s">
        <v>3</v>
      </c>
      <c r="B500" s="3">
        <f>IFERROR(__xludf.DUMMYFUNCTION("""COMPUTED_VALUE"""),46070.66666666667)</f>
        <v>46070.66667</v>
      </c>
      <c r="C500" s="2">
        <f>IFERROR(__xludf.DUMMYFUNCTION("""COMPUTED_VALUE"""),37.13)</f>
        <v>37.13</v>
      </c>
      <c r="D500" s="2">
        <f t="shared" si="2"/>
        <v>0.04503236701</v>
      </c>
    </row>
    <row r="501">
      <c r="A501" s="1" t="s">
        <v>3</v>
      </c>
      <c r="B501" s="3">
        <f>IFERROR(__xludf.DUMMYFUNCTION("""COMPUTED_VALUE"""),46071.66666666667)</f>
        <v>46071.66667</v>
      </c>
      <c r="C501" s="2">
        <f>IFERROR(__xludf.DUMMYFUNCTION("""COMPUTED_VALUE"""),35.1)</f>
        <v>35.1</v>
      </c>
      <c r="D501" s="2">
        <f t="shared" si="2"/>
        <v>-0.05467277134</v>
      </c>
    </row>
    <row r="502">
      <c r="A502" s="1" t="s">
        <v>3</v>
      </c>
      <c r="B502" s="3">
        <f>IFERROR(__xludf.DUMMYFUNCTION("""COMPUTED_VALUE"""),46072.66666666667)</f>
        <v>46072.66667</v>
      </c>
      <c r="C502" s="2">
        <f>IFERROR(__xludf.DUMMYFUNCTION("""COMPUTED_VALUE"""),34.96)</f>
        <v>34.96</v>
      </c>
      <c r="D502" s="2">
        <f t="shared" si="2"/>
        <v>-0.003988603989</v>
      </c>
    </row>
    <row r="503">
      <c r="A503" s="1" t="s">
        <v>3</v>
      </c>
      <c r="B503" s="3">
        <f>IFERROR(__xludf.DUMMYFUNCTION("""COMPUTED_VALUE"""),46073.66666666667)</f>
        <v>46073.66667</v>
      </c>
      <c r="C503" s="2">
        <f>IFERROR(__xludf.DUMMYFUNCTION("""COMPUTED_VALUE"""),37.9)</f>
        <v>37.9</v>
      </c>
      <c r="D503" s="2">
        <f t="shared" si="2"/>
        <v>0.08409610984</v>
      </c>
    </row>
    <row r="504">
      <c r="A504" s="1" t="s">
        <v>3</v>
      </c>
      <c r="D504" s="2">
        <f t="shared" si="2"/>
        <v>-1</v>
      </c>
    </row>
    <row r="505">
      <c r="A505" s="1" t="s">
        <v>0</v>
      </c>
      <c r="B505" s="2" t="str">
        <f>IFERROR(__xludf.DUMMYFUNCTION("GOOGLEFINANCE(A506, ""price"", EDATE(TODAY(), -12), TODAY()) "),"Date")</f>
        <v>Date</v>
      </c>
      <c r="C505" s="2" t="str">
        <f>IFERROR(__xludf.DUMMYFUNCTION("""COMPUTED_VALUE"""),"Close")</f>
        <v>Close</v>
      </c>
    </row>
    <row r="506">
      <c r="A506" s="1" t="s">
        <v>4</v>
      </c>
      <c r="B506" s="3">
        <f>IFERROR(__xludf.DUMMYFUNCTION("""COMPUTED_VALUE"""),45712.66666666667)</f>
        <v>45712.66667</v>
      </c>
      <c r="C506" s="2">
        <f>IFERROR(__xludf.DUMMYFUNCTION("""COMPUTED_VALUE"""),212.71)</f>
        <v>212.71</v>
      </c>
    </row>
    <row r="507">
      <c r="A507" s="1" t="s">
        <v>4</v>
      </c>
      <c r="B507" s="3">
        <f>IFERROR(__xludf.DUMMYFUNCTION("""COMPUTED_VALUE"""),45713.66666666667)</f>
        <v>45713.66667</v>
      </c>
      <c r="C507" s="2">
        <f>IFERROR(__xludf.DUMMYFUNCTION("""COMPUTED_VALUE"""),212.8)</f>
        <v>212.8</v>
      </c>
      <c r="D507" s="2">
        <f t="shared" ref="D507:D756" si="3">(C507-C506)/C506</f>
        <v>0.0004231112783</v>
      </c>
    </row>
    <row r="508">
      <c r="A508" s="1" t="s">
        <v>4</v>
      </c>
      <c r="B508" s="3">
        <f>IFERROR(__xludf.DUMMYFUNCTION("""COMPUTED_VALUE"""),45714.66666666667)</f>
        <v>45714.66667</v>
      </c>
      <c r="C508" s="2">
        <f>IFERROR(__xludf.DUMMYFUNCTION("""COMPUTED_VALUE"""),214.35)</f>
        <v>214.35</v>
      </c>
      <c r="D508" s="2">
        <f t="shared" si="3"/>
        <v>0.007283834586</v>
      </c>
    </row>
    <row r="509">
      <c r="A509" s="1" t="s">
        <v>4</v>
      </c>
      <c r="B509" s="3">
        <f>IFERROR(__xludf.DUMMYFUNCTION("""COMPUTED_VALUE"""),45715.66666666667)</f>
        <v>45715.66667</v>
      </c>
      <c r="C509" s="2">
        <f>IFERROR(__xludf.DUMMYFUNCTION("""COMPUTED_VALUE"""),208.74)</f>
        <v>208.74</v>
      </c>
      <c r="D509" s="2">
        <f t="shared" si="3"/>
        <v>-0.02617214836</v>
      </c>
    </row>
    <row r="510">
      <c r="A510" s="1" t="s">
        <v>4</v>
      </c>
      <c r="B510" s="3">
        <f>IFERROR(__xludf.DUMMYFUNCTION("""COMPUTED_VALUE"""),45716.66666666667)</f>
        <v>45716.66667</v>
      </c>
      <c r="C510" s="2">
        <f>IFERROR(__xludf.DUMMYFUNCTION("""COMPUTED_VALUE"""),212.28)</f>
        <v>212.28</v>
      </c>
      <c r="D510" s="2">
        <f t="shared" si="3"/>
        <v>0.01695889623</v>
      </c>
    </row>
    <row r="511">
      <c r="A511" s="1" t="s">
        <v>4</v>
      </c>
      <c r="B511" s="3">
        <f>IFERROR(__xludf.DUMMYFUNCTION("""COMPUTED_VALUE"""),45719.66666666667)</f>
        <v>45719.66667</v>
      </c>
      <c r="C511" s="2">
        <f>IFERROR(__xludf.DUMMYFUNCTION("""COMPUTED_VALUE"""),205.02)</f>
        <v>205.02</v>
      </c>
      <c r="D511" s="2">
        <f t="shared" si="3"/>
        <v>-0.03420011306</v>
      </c>
    </row>
    <row r="512">
      <c r="A512" s="1" t="s">
        <v>4</v>
      </c>
      <c r="B512" s="3">
        <f>IFERROR(__xludf.DUMMYFUNCTION("""COMPUTED_VALUE"""),45720.66666666667)</f>
        <v>45720.66667</v>
      </c>
      <c r="C512" s="2">
        <f>IFERROR(__xludf.DUMMYFUNCTION("""COMPUTED_VALUE"""),203.8)</f>
        <v>203.8</v>
      </c>
      <c r="D512" s="2">
        <f t="shared" si="3"/>
        <v>-0.005950638962</v>
      </c>
    </row>
    <row r="513">
      <c r="A513" s="1" t="s">
        <v>4</v>
      </c>
      <c r="B513" s="3">
        <f>IFERROR(__xludf.DUMMYFUNCTION("""COMPUTED_VALUE"""),45721.66666666667)</f>
        <v>45721.66667</v>
      </c>
      <c r="C513" s="2">
        <f>IFERROR(__xludf.DUMMYFUNCTION("""COMPUTED_VALUE"""),208.36)</f>
        <v>208.36</v>
      </c>
      <c r="D513" s="2">
        <f t="shared" si="3"/>
        <v>0.02237487733</v>
      </c>
    </row>
    <row r="514">
      <c r="A514" s="1" t="s">
        <v>4</v>
      </c>
      <c r="B514" s="3">
        <f>IFERROR(__xludf.DUMMYFUNCTION("""COMPUTED_VALUE"""),45722.66666666667)</f>
        <v>45722.66667</v>
      </c>
      <c r="C514" s="2">
        <f>IFERROR(__xludf.DUMMYFUNCTION("""COMPUTED_VALUE"""),200.7)</f>
        <v>200.7</v>
      </c>
      <c r="D514" s="2">
        <f t="shared" si="3"/>
        <v>-0.0367632943</v>
      </c>
    </row>
    <row r="515">
      <c r="A515" s="1" t="s">
        <v>4</v>
      </c>
      <c r="B515" s="3">
        <f>IFERROR(__xludf.DUMMYFUNCTION("""COMPUTED_VALUE"""),45723.66666666667)</f>
        <v>45723.66667</v>
      </c>
      <c r="C515" s="2">
        <f>IFERROR(__xludf.DUMMYFUNCTION("""COMPUTED_VALUE"""),199.25)</f>
        <v>199.25</v>
      </c>
      <c r="D515" s="2">
        <f t="shared" si="3"/>
        <v>-0.007224713503</v>
      </c>
    </row>
    <row r="516">
      <c r="A516" s="1" t="s">
        <v>4</v>
      </c>
      <c r="B516" s="3">
        <f>IFERROR(__xludf.DUMMYFUNCTION("""COMPUTED_VALUE"""),45726.66666666667)</f>
        <v>45726.66667</v>
      </c>
      <c r="C516" s="2">
        <f>IFERROR(__xludf.DUMMYFUNCTION("""COMPUTED_VALUE"""),194.54)</f>
        <v>194.54</v>
      </c>
      <c r="D516" s="2">
        <f t="shared" si="3"/>
        <v>-0.02363864492</v>
      </c>
    </row>
    <row r="517">
      <c r="A517" s="1" t="s">
        <v>4</v>
      </c>
      <c r="B517" s="3">
        <f>IFERROR(__xludf.DUMMYFUNCTION("""COMPUTED_VALUE"""),45727.66666666667)</f>
        <v>45727.66667</v>
      </c>
      <c r="C517" s="2">
        <f>IFERROR(__xludf.DUMMYFUNCTION("""COMPUTED_VALUE"""),196.59)</f>
        <v>196.59</v>
      </c>
      <c r="D517" s="2">
        <f t="shared" si="3"/>
        <v>0.01053767863</v>
      </c>
    </row>
    <row r="518">
      <c r="A518" s="1" t="s">
        <v>4</v>
      </c>
      <c r="B518" s="3">
        <f>IFERROR(__xludf.DUMMYFUNCTION("""COMPUTED_VALUE"""),45728.66666666667)</f>
        <v>45728.66667</v>
      </c>
      <c r="C518" s="2">
        <f>IFERROR(__xludf.DUMMYFUNCTION("""COMPUTED_VALUE"""),198.89)</f>
        <v>198.89</v>
      </c>
      <c r="D518" s="2">
        <f t="shared" si="3"/>
        <v>0.01169947607</v>
      </c>
    </row>
    <row r="519">
      <c r="A519" s="1" t="s">
        <v>4</v>
      </c>
      <c r="B519" s="3">
        <f>IFERROR(__xludf.DUMMYFUNCTION("""COMPUTED_VALUE"""),45729.66666666667)</f>
        <v>45729.66667</v>
      </c>
      <c r="C519" s="2">
        <f>IFERROR(__xludf.DUMMYFUNCTION("""COMPUTED_VALUE"""),193.89)</f>
        <v>193.89</v>
      </c>
      <c r="D519" s="2">
        <f t="shared" si="3"/>
        <v>-0.02513952436</v>
      </c>
    </row>
    <row r="520">
      <c r="A520" s="1" t="s">
        <v>4</v>
      </c>
      <c r="B520" s="3">
        <f>IFERROR(__xludf.DUMMYFUNCTION("""COMPUTED_VALUE"""),45730.66666666667)</f>
        <v>45730.66667</v>
      </c>
      <c r="C520" s="2">
        <f>IFERROR(__xludf.DUMMYFUNCTION("""COMPUTED_VALUE"""),197.95)</f>
        <v>197.95</v>
      </c>
      <c r="D520" s="2">
        <f t="shared" si="3"/>
        <v>0.02093970808</v>
      </c>
    </row>
    <row r="521">
      <c r="A521" s="1" t="s">
        <v>4</v>
      </c>
      <c r="B521" s="3">
        <f>IFERROR(__xludf.DUMMYFUNCTION("""COMPUTED_VALUE"""),45733.66666666667)</f>
        <v>45733.66667</v>
      </c>
      <c r="C521" s="2">
        <f>IFERROR(__xludf.DUMMYFUNCTION("""COMPUTED_VALUE"""),195.74)</f>
        <v>195.74</v>
      </c>
      <c r="D521" s="2">
        <f t="shared" si="3"/>
        <v>-0.01116443546</v>
      </c>
    </row>
    <row r="522">
      <c r="A522" s="1" t="s">
        <v>4</v>
      </c>
      <c r="B522" s="3">
        <f>IFERROR(__xludf.DUMMYFUNCTION("""COMPUTED_VALUE"""),45734.66666666667)</f>
        <v>45734.66667</v>
      </c>
      <c r="C522" s="2">
        <f>IFERROR(__xludf.DUMMYFUNCTION("""COMPUTED_VALUE"""),192.82)</f>
        <v>192.82</v>
      </c>
      <c r="D522" s="2">
        <f t="shared" si="3"/>
        <v>-0.01491774803</v>
      </c>
    </row>
    <row r="523">
      <c r="A523" s="1" t="s">
        <v>4</v>
      </c>
      <c r="B523" s="3">
        <f>IFERROR(__xludf.DUMMYFUNCTION("""COMPUTED_VALUE"""),45735.66666666667)</f>
        <v>45735.66667</v>
      </c>
      <c r="C523" s="2">
        <f>IFERROR(__xludf.DUMMYFUNCTION("""COMPUTED_VALUE"""),195.54)</f>
        <v>195.54</v>
      </c>
      <c r="D523" s="2">
        <f t="shared" si="3"/>
        <v>0.0141064205</v>
      </c>
    </row>
    <row r="524">
      <c r="A524" s="1" t="s">
        <v>4</v>
      </c>
      <c r="B524" s="3">
        <f>IFERROR(__xludf.DUMMYFUNCTION("""COMPUTED_VALUE"""),45736.66666666667)</f>
        <v>45736.66667</v>
      </c>
      <c r="C524" s="2">
        <f>IFERROR(__xludf.DUMMYFUNCTION("""COMPUTED_VALUE"""),194.95)</f>
        <v>194.95</v>
      </c>
      <c r="D524" s="2">
        <f t="shared" si="3"/>
        <v>-0.003017285466</v>
      </c>
    </row>
    <row r="525">
      <c r="A525" s="1" t="s">
        <v>4</v>
      </c>
      <c r="B525" s="3">
        <f>IFERROR(__xludf.DUMMYFUNCTION("""COMPUTED_VALUE"""),45737.66666666667)</f>
        <v>45737.66667</v>
      </c>
      <c r="C525" s="2">
        <f>IFERROR(__xludf.DUMMYFUNCTION("""COMPUTED_VALUE"""),196.21)</f>
        <v>196.21</v>
      </c>
      <c r="D525" s="2">
        <f t="shared" si="3"/>
        <v>0.006463195691</v>
      </c>
    </row>
    <row r="526">
      <c r="A526" s="1" t="s">
        <v>4</v>
      </c>
      <c r="B526" s="3">
        <f>IFERROR(__xludf.DUMMYFUNCTION("""COMPUTED_VALUE"""),45740.66666666667)</f>
        <v>45740.66667</v>
      </c>
      <c r="C526" s="2">
        <f>IFERROR(__xludf.DUMMYFUNCTION("""COMPUTED_VALUE"""),203.26)</f>
        <v>203.26</v>
      </c>
      <c r="D526" s="2">
        <f t="shared" si="3"/>
        <v>0.03593089037</v>
      </c>
    </row>
    <row r="527">
      <c r="A527" s="1" t="s">
        <v>4</v>
      </c>
      <c r="B527" s="3">
        <f>IFERROR(__xludf.DUMMYFUNCTION("""COMPUTED_VALUE"""),45741.66666666667)</f>
        <v>45741.66667</v>
      </c>
      <c r="C527" s="2">
        <f>IFERROR(__xludf.DUMMYFUNCTION("""COMPUTED_VALUE"""),205.71)</f>
        <v>205.71</v>
      </c>
      <c r="D527" s="2">
        <f t="shared" si="3"/>
        <v>0.0120535275</v>
      </c>
    </row>
    <row r="528">
      <c r="A528" s="1" t="s">
        <v>4</v>
      </c>
      <c r="B528" s="3">
        <f>IFERROR(__xludf.DUMMYFUNCTION("""COMPUTED_VALUE"""),45742.66666666667)</f>
        <v>45742.66667</v>
      </c>
      <c r="C528" s="2">
        <f>IFERROR(__xludf.DUMMYFUNCTION("""COMPUTED_VALUE"""),201.13)</f>
        <v>201.13</v>
      </c>
      <c r="D528" s="2">
        <f t="shared" si="3"/>
        <v>-0.02226435273</v>
      </c>
    </row>
    <row r="529">
      <c r="A529" s="1" t="s">
        <v>4</v>
      </c>
      <c r="B529" s="3">
        <f>IFERROR(__xludf.DUMMYFUNCTION("""COMPUTED_VALUE"""),45743.66666666667)</f>
        <v>45743.66667</v>
      </c>
      <c r="C529" s="2">
        <f>IFERROR(__xludf.DUMMYFUNCTION("""COMPUTED_VALUE"""),201.36)</f>
        <v>201.36</v>
      </c>
      <c r="D529" s="2">
        <f t="shared" si="3"/>
        <v>0.001143539005</v>
      </c>
    </row>
    <row r="530">
      <c r="A530" s="1" t="s">
        <v>4</v>
      </c>
      <c r="B530" s="3">
        <f>IFERROR(__xludf.DUMMYFUNCTION("""COMPUTED_VALUE"""),45744.66666666667)</f>
        <v>45744.66667</v>
      </c>
      <c r="C530" s="2">
        <f>IFERROR(__xludf.DUMMYFUNCTION("""COMPUTED_VALUE"""),192.72)</f>
        <v>192.72</v>
      </c>
      <c r="D530" s="2">
        <f t="shared" si="3"/>
        <v>-0.04290822408</v>
      </c>
    </row>
    <row r="531">
      <c r="A531" s="1" t="s">
        <v>4</v>
      </c>
      <c r="B531" s="3">
        <f>IFERROR(__xludf.DUMMYFUNCTION("""COMPUTED_VALUE"""),45747.66666666667)</f>
        <v>45747.66667</v>
      </c>
      <c r="C531" s="2">
        <f>IFERROR(__xludf.DUMMYFUNCTION("""COMPUTED_VALUE"""),190.26)</f>
        <v>190.26</v>
      </c>
      <c r="D531" s="2">
        <f t="shared" si="3"/>
        <v>-0.01276463263</v>
      </c>
    </row>
    <row r="532">
      <c r="A532" s="1" t="s">
        <v>4</v>
      </c>
      <c r="B532" s="3">
        <f>IFERROR(__xludf.DUMMYFUNCTION("""COMPUTED_VALUE"""),45748.66666666667)</f>
        <v>45748.66667</v>
      </c>
      <c r="C532" s="2">
        <f>IFERROR(__xludf.DUMMYFUNCTION("""COMPUTED_VALUE"""),192.17)</f>
        <v>192.17</v>
      </c>
      <c r="D532" s="2">
        <f t="shared" si="3"/>
        <v>0.01003889414</v>
      </c>
    </row>
    <row r="533">
      <c r="A533" s="1" t="s">
        <v>4</v>
      </c>
      <c r="B533" s="3">
        <f>IFERROR(__xludf.DUMMYFUNCTION("""COMPUTED_VALUE"""),45749.66666666667)</f>
        <v>45749.66667</v>
      </c>
      <c r="C533" s="2">
        <f>IFERROR(__xludf.DUMMYFUNCTION("""COMPUTED_VALUE"""),196.01)</f>
        <v>196.01</v>
      </c>
      <c r="D533" s="2">
        <f t="shared" si="3"/>
        <v>0.01998230733</v>
      </c>
    </row>
    <row r="534">
      <c r="A534" s="1" t="s">
        <v>4</v>
      </c>
      <c r="B534" s="3">
        <f>IFERROR(__xludf.DUMMYFUNCTION("""COMPUTED_VALUE"""),45750.66666666667)</f>
        <v>45750.66667</v>
      </c>
      <c r="C534" s="2">
        <f>IFERROR(__xludf.DUMMYFUNCTION("""COMPUTED_VALUE"""),178.41)</f>
        <v>178.41</v>
      </c>
      <c r="D534" s="2">
        <f t="shared" si="3"/>
        <v>-0.08979133718</v>
      </c>
    </row>
    <row r="535">
      <c r="A535" s="1" t="s">
        <v>4</v>
      </c>
      <c r="B535" s="3">
        <f>IFERROR(__xludf.DUMMYFUNCTION("""COMPUTED_VALUE"""),45751.66666666667)</f>
        <v>45751.66667</v>
      </c>
      <c r="C535" s="2">
        <f>IFERROR(__xludf.DUMMYFUNCTION("""COMPUTED_VALUE"""),171.0)</f>
        <v>171</v>
      </c>
      <c r="D535" s="2">
        <f t="shared" si="3"/>
        <v>-0.04153354633</v>
      </c>
    </row>
    <row r="536">
      <c r="A536" s="1" t="s">
        <v>4</v>
      </c>
      <c r="B536" s="3">
        <f>IFERROR(__xludf.DUMMYFUNCTION("""COMPUTED_VALUE"""),45754.66666666667)</f>
        <v>45754.66667</v>
      </c>
      <c r="C536" s="2">
        <f>IFERROR(__xludf.DUMMYFUNCTION("""COMPUTED_VALUE"""),175.26)</f>
        <v>175.26</v>
      </c>
      <c r="D536" s="2">
        <f t="shared" si="3"/>
        <v>0.0249122807</v>
      </c>
    </row>
    <row r="537">
      <c r="A537" s="1" t="s">
        <v>4</v>
      </c>
      <c r="B537" s="3">
        <f>IFERROR(__xludf.DUMMYFUNCTION("""COMPUTED_VALUE"""),45755.66666666667)</f>
        <v>45755.66667</v>
      </c>
      <c r="C537" s="2">
        <f>IFERROR(__xludf.DUMMYFUNCTION("""COMPUTED_VALUE"""),170.66)</f>
        <v>170.66</v>
      </c>
      <c r="D537" s="2">
        <f t="shared" si="3"/>
        <v>-0.02624671916</v>
      </c>
    </row>
    <row r="538">
      <c r="A538" s="1" t="s">
        <v>4</v>
      </c>
      <c r="B538" s="3">
        <f>IFERROR(__xludf.DUMMYFUNCTION("""COMPUTED_VALUE"""),45756.66666666667)</f>
        <v>45756.66667</v>
      </c>
      <c r="C538" s="2">
        <f>IFERROR(__xludf.DUMMYFUNCTION("""COMPUTED_VALUE"""),191.1)</f>
        <v>191.1</v>
      </c>
      <c r="D538" s="2">
        <f t="shared" si="3"/>
        <v>0.1197703035</v>
      </c>
    </row>
    <row r="539">
      <c r="A539" s="1" t="s">
        <v>4</v>
      </c>
      <c r="B539" s="3">
        <f>IFERROR(__xludf.DUMMYFUNCTION("""COMPUTED_VALUE"""),45757.66666666667)</f>
        <v>45757.66667</v>
      </c>
      <c r="C539" s="2">
        <f>IFERROR(__xludf.DUMMYFUNCTION("""COMPUTED_VALUE"""),181.22)</f>
        <v>181.22</v>
      </c>
      <c r="D539" s="2">
        <f t="shared" si="3"/>
        <v>-0.05170068027</v>
      </c>
    </row>
    <row r="540">
      <c r="A540" s="1" t="s">
        <v>4</v>
      </c>
      <c r="B540" s="3">
        <f>IFERROR(__xludf.DUMMYFUNCTION("""COMPUTED_VALUE"""),45758.66666666667)</f>
        <v>45758.66667</v>
      </c>
      <c r="C540" s="2">
        <f>IFERROR(__xludf.DUMMYFUNCTION("""COMPUTED_VALUE"""),184.87)</f>
        <v>184.87</v>
      </c>
      <c r="D540" s="2">
        <f t="shared" si="3"/>
        <v>0.02014126476</v>
      </c>
    </row>
    <row r="541">
      <c r="A541" s="1" t="s">
        <v>4</v>
      </c>
      <c r="B541" s="3">
        <f>IFERROR(__xludf.DUMMYFUNCTION("""COMPUTED_VALUE"""),45761.66666666667)</f>
        <v>45761.66667</v>
      </c>
      <c r="C541" s="2">
        <f>IFERROR(__xludf.DUMMYFUNCTION("""COMPUTED_VALUE"""),182.12)</f>
        <v>182.12</v>
      </c>
      <c r="D541" s="2">
        <f t="shared" si="3"/>
        <v>-0.01487531779</v>
      </c>
    </row>
    <row r="542">
      <c r="A542" s="1" t="s">
        <v>4</v>
      </c>
      <c r="B542" s="3">
        <f>IFERROR(__xludf.DUMMYFUNCTION("""COMPUTED_VALUE"""),45762.66666666667)</f>
        <v>45762.66667</v>
      </c>
      <c r="C542" s="2">
        <f>IFERROR(__xludf.DUMMYFUNCTION("""COMPUTED_VALUE"""),179.59)</f>
        <v>179.59</v>
      </c>
      <c r="D542" s="2">
        <f t="shared" si="3"/>
        <v>-0.01389193938</v>
      </c>
    </row>
    <row r="543">
      <c r="A543" s="1" t="s">
        <v>4</v>
      </c>
      <c r="B543" s="3">
        <f>IFERROR(__xludf.DUMMYFUNCTION("""COMPUTED_VALUE"""),45763.66666666667)</f>
        <v>45763.66667</v>
      </c>
      <c r="C543" s="2">
        <f>IFERROR(__xludf.DUMMYFUNCTION("""COMPUTED_VALUE"""),174.33)</f>
        <v>174.33</v>
      </c>
      <c r="D543" s="2">
        <f t="shared" si="3"/>
        <v>-0.02928893591</v>
      </c>
    </row>
    <row r="544">
      <c r="A544" s="1" t="s">
        <v>4</v>
      </c>
      <c r="B544" s="3">
        <f>IFERROR(__xludf.DUMMYFUNCTION("""COMPUTED_VALUE"""),45764.66666666667)</f>
        <v>45764.66667</v>
      </c>
      <c r="C544" s="2">
        <f>IFERROR(__xludf.DUMMYFUNCTION("""COMPUTED_VALUE"""),172.61)</f>
        <v>172.61</v>
      </c>
      <c r="D544" s="2">
        <f t="shared" si="3"/>
        <v>-0.009866345437</v>
      </c>
    </row>
    <row r="545">
      <c r="A545" s="1" t="s">
        <v>4</v>
      </c>
      <c r="B545" s="3">
        <f>IFERROR(__xludf.DUMMYFUNCTION("""COMPUTED_VALUE"""),45768.66666666667)</f>
        <v>45768.66667</v>
      </c>
      <c r="C545" s="2">
        <f>IFERROR(__xludf.DUMMYFUNCTION("""COMPUTED_VALUE"""),167.32)</f>
        <v>167.32</v>
      </c>
      <c r="D545" s="2">
        <f t="shared" si="3"/>
        <v>-0.03064712357</v>
      </c>
    </row>
    <row r="546">
      <c r="A546" s="1" t="s">
        <v>4</v>
      </c>
      <c r="B546" s="3">
        <f>IFERROR(__xludf.DUMMYFUNCTION("""COMPUTED_VALUE"""),45769.66666666667)</f>
        <v>45769.66667</v>
      </c>
      <c r="C546" s="2">
        <f>IFERROR(__xludf.DUMMYFUNCTION("""COMPUTED_VALUE"""),173.18)</f>
        <v>173.18</v>
      </c>
      <c r="D546" s="2">
        <f t="shared" si="3"/>
        <v>0.03502271097</v>
      </c>
    </row>
    <row r="547">
      <c r="A547" s="1" t="s">
        <v>4</v>
      </c>
      <c r="B547" s="3">
        <f>IFERROR(__xludf.DUMMYFUNCTION("""COMPUTED_VALUE"""),45770.66666666667)</f>
        <v>45770.66667</v>
      </c>
      <c r="C547" s="2">
        <f>IFERROR(__xludf.DUMMYFUNCTION("""COMPUTED_VALUE"""),180.6)</f>
        <v>180.6</v>
      </c>
      <c r="D547" s="2">
        <f t="shared" si="3"/>
        <v>0.04284559418</v>
      </c>
    </row>
    <row r="548">
      <c r="A548" s="1" t="s">
        <v>4</v>
      </c>
      <c r="B548" s="3">
        <f>IFERROR(__xludf.DUMMYFUNCTION("""COMPUTED_VALUE"""),45771.66666666667)</f>
        <v>45771.66667</v>
      </c>
      <c r="C548" s="2">
        <f>IFERROR(__xludf.DUMMYFUNCTION("""COMPUTED_VALUE"""),186.54)</f>
        <v>186.54</v>
      </c>
      <c r="D548" s="2">
        <f t="shared" si="3"/>
        <v>0.03289036545</v>
      </c>
    </row>
    <row r="549">
      <c r="A549" s="1" t="s">
        <v>4</v>
      </c>
      <c r="B549" s="3">
        <f>IFERROR(__xludf.DUMMYFUNCTION("""COMPUTED_VALUE"""),45772.66666666667)</f>
        <v>45772.66667</v>
      </c>
      <c r="C549" s="2">
        <f>IFERROR(__xludf.DUMMYFUNCTION("""COMPUTED_VALUE"""),188.99)</f>
        <v>188.99</v>
      </c>
      <c r="D549" s="2">
        <f t="shared" si="3"/>
        <v>0.0131339123</v>
      </c>
    </row>
    <row r="550">
      <c r="A550" s="1" t="s">
        <v>4</v>
      </c>
      <c r="B550" s="3">
        <f>IFERROR(__xludf.DUMMYFUNCTION("""COMPUTED_VALUE"""),45775.66666666667)</f>
        <v>45775.66667</v>
      </c>
      <c r="C550" s="2">
        <f>IFERROR(__xludf.DUMMYFUNCTION("""COMPUTED_VALUE"""),187.7)</f>
        <v>187.7</v>
      </c>
      <c r="D550" s="2">
        <f t="shared" si="3"/>
        <v>-0.006825757977</v>
      </c>
    </row>
    <row r="551">
      <c r="A551" s="1" t="s">
        <v>4</v>
      </c>
      <c r="B551" s="3">
        <f>IFERROR(__xludf.DUMMYFUNCTION("""COMPUTED_VALUE"""),45776.66666666667)</f>
        <v>45776.66667</v>
      </c>
      <c r="C551" s="2">
        <f>IFERROR(__xludf.DUMMYFUNCTION("""COMPUTED_VALUE"""),187.39)</f>
        <v>187.39</v>
      </c>
      <c r="D551" s="2">
        <f t="shared" si="3"/>
        <v>-0.001651571657</v>
      </c>
    </row>
    <row r="552">
      <c r="A552" s="1" t="s">
        <v>4</v>
      </c>
      <c r="B552" s="3">
        <f>IFERROR(__xludf.DUMMYFUNCTION("""COMPUTED_VALUE"""),45777.66666666667)</f>
        <v>45777.66667</v>
      </c>
      <c r="C552" s="2">
        <f>IFERROR(__xludf.DUMMYFUNCTION("""COMPUTED_VALUE"""),184.42)</f>
        <v>184.42</v>
      </c>
      <c r="D552" s="2">
        <f t="shared" si="3"/>
        <v>-0.01584929825</v>
      </c>
    </row>
    <row r="553">
      <c r="A553" s="1" t="s">
        <v>4</v>
      </c>
      <c r="B553" s="3">
        <f>IFERROR(__xludf.DUMMYFUNCTION("""COMPUTED_VALUE"""),45778.66666666667)</f>
        <v>45778.66667</v>
      </c>
      <c r="C553" s="2">
        <f>IFERROR(__xludf.DUMMYFUNCTION("""COMPUTED_VALUE"""),190.2)</f>
        <v>190.2</v>
      </c>
      <c r="D553" s="2">
        <f t="shared" si="3"/>
        <v>0.03134150309</v>
      </c>
    </row>
    <row r="554">
      <c r="A554" s="1" t="s">
        <v>4</v>
      </c>
      <c r="B554" s="3">
        <f>IFERROR(__xludf.DUMMYFUNCTION("""COMPUTED_VALUE"""),45779.66666666667)</f>
        <v>45779.66667</v>
      </c>
      <c r="C554" s="2">
        <f>IFERROR(__xludf.DUMMYFUNCTION("""COMPUTED_VALUE"""),189.98)</f>
        <v>189.98</v>
      </c>
      <c r="D554" s="2">
        <f t="shared" si="3"/>
        <v>-0.001156677182</v>
      </c>
    </row>
    <row r="555">
      <c r="A555" s="1" t="s">
        <v>4</v>
      </c>
      <c r="B555" s="3">
        <f>IFERROR(__xludf.DUMMYFUNCTION("""COMPUTED_VALUE"""),45782.66666666667)</f>
        <v>45782.66667</v>
      </c>
      <c r="C555" s="2">
        <f>IFERROR(__xludf.DUMMYFUNCTION("""COMPUTED_VALUE"""),186.35)</f>
        <v>186.35</v>
      </c>
      <c r="D555" s="2">
        <f t="shared" si="3"/>
        <v>-0.01910727445</v>
      </c>
    </row>
    <row r="556">
      <c r="A556" s="1" t="s">
        <v>4</v>
      </c>
      <c r="B556" s="3">
        <f>IFERROR(__xludf.DUMMYFUNCTION("""COMPUTED_VALUE"""),45783.66666666667)</f>
        <v>45783.66667</v>
      </c>
      <c r="C556" s="2">
        <f>IFERROR(__xludf.DUMMYFUNCTION("""COMPUTED_VALUE"""),185.01)</f>
        <v>185.01</v>
      </c>
      <c r="D556" s="2">
        <f t="shared" si="3"/>
        <v>-0.007190770056</v>
      </c>
    </row>
    <row r="557">
      <c r="A557" s="1" t="s">
        <v>4</v>
      </c>
      <c r="B557" s="3">
        <f>IFERROR(__xludf.DUMMYFUNCTION("""COMPUTED_VALUE"""),45784.66666666667)</f>
        <v>45784.66667</v>
      </c>
      <c r="C557" s="2">
        <f>IFERROR(__xludf.DUMMYFUNCTION("""COMPUTED_VALUE"""),188.71)</f>
        <v>188.71</v>
      </c>
      <c r="D557" s="2">
        <f t="shared" si="3"/>
        <v>0.01999891898</v>
      </c>
    </row>
    <row r="558">
      <c r="A558" s="1" t="s">
        <v>4</v>
      </c>
      <c r="B558" s="3">
        <f>IFERROR(__xludf.DUMMYFUNCTION("""COMPUTED_VALUE"""),45785.66666666667)</f>
        <v>45785.66667</v>
      </c>
      <c r="C558" s="2">
        <f>IFERROR(__xludf.DUMMYFUNCTION("""COMPUTED_VALUE"""),192.08)</f>
        <v>192.08</v>
      </c>
      <c r="D558" s="2">
        <f t="shared" si="3"/>
        <v>0.01785808913</v>
      </c>
    </row>
    <row r="559">
      <c r="A559" s="1" t="s">
        <v>4</v>
      </c>
      <c r="B559" s="3">
        <f>IFERROR(__xludf.DUMMYFUNCTION("""COMPUTED_VALUE"""),45786.66666666667)</f>
        <v>45786.66667</v>
      </c>
      <c r="C559" s="2">
        <f>IFERROR(__xludf.DUMMYFUNCTION("""COMPUTED_VALUE"""),193.06)</f>
        <v>193.06</v>
      </c>
      <c r="D559" s="2">
        <f t="shared" si="3"/>
        <v>0.005102040816</v>
      </c>
    </row>
    <row r="560">
      <c r="A560" s="1" t="s">
        <v>4</v>
      </c>
      <c r="B560" s="3">
        <f>IFERROR(__xludf.DUMMYFUNCTION("""COMPUTED_VALUE"""),45789.66666666667)</f>
        <v>45789.66667</v>
      </c>
      <c r="C560" s="2">
        <f>IFERROR(__xludf.DUMMYFUNCTION("""COMPUTED_VALUE"""),208.64)</f>
        <v>208.64</v>
      </c>
      <c r="D560" s="2">
        <f t="shared" si="3"/>
        <v>0.08070030042</v>
      </c>
    </row>
    <row r="561">
      <c r="A561" s="1" t="s">
        <v>4</v>
      </c>
      <c r="B561" s="3">
        <f>IFERROR(__xludf.DUMMYFUNCTION("""COMPUTED_VALUE"""),45790.66666666667)</f>
        <v>45790.66667</v>
      </c>
      <c r="C561" s="2">
        <f>IFERROR(__xludf.DUMMYFUNCTION("""COMPUTED_VALUE"""),211.37)</f>
        <v>211.37</v>
      </c>
      <c r="D561" s="2">
        <f t="shared" si="3"/>
        <v>0.01308473926</v>
      </c>
    </row>
    <row r="562">
      <c r="A562" s="1" t="s">
        <v>4</v>
      </c>
      <c r="B562" s="3">
        <f>IFERROR(__xludf.DUMMYFUNCTION("""COMPUTED_VALUE"""),45791.66666666667)</f>
        <v>45791.66667</v>
      </c>
      <c r="C562" s="2">
        <f>IFERROR(__xludf.DUMMYFUNCTION("""COMPUTED_VALUE"""),210.25)</f>
        <v>210.25</v>
      </c>
      <c r="D562" s="2">
        <f t="shared" si="3"/>
        <v>-0.005298765198</v>
      </c>
    </row>
    <row r="563">
      <c r="A563" s="1" t="s">
        <v>4</v>
      </c>
      <c r="B563" s="3">
        <f>IFERROR(__xludf.DUMMYFUNCTION("""COMPUTED_VALUE"""),45792.66666666667)</f>
        <v>45792.66667</v>
      </c>
      <c r="C563" s="2">
        <f>IFERROR(__xludf.DUMMYFUNCTION("""COMPUTED_VALUE"""),205.17)</f>
        <v>205.17</v>
      </c>
      <c r="D563" s="2">
        <f t="shared" si="3"/>
        <v>-0.02416171225</v>
      </c>
    </row>
    <row r="564">
      <c r="A564" s="1" t="s">
        <v>4</v>
      </c>
      <c r="B564" s="3">
        <f>IFERROR(__xludf.DUMMYFUNCTION("""COMPUTED_VALUE"""),45793.66666666667)</f>
        <v>45793.66667</v>
      </c>
      <c r="C564" s="2">
        <f>IFERROR(__xludf.DUMMYFUNCTION("""COMPUTED_VALUE"""),205.59)</f>
        <v>205.59</v>
      </c>
      <c r="D564" s="2">
        <f t="shared" si="3"/>
        <v>0.002047082907</v>
      </c>
    </row>
    <row r="565">
      <c r="A565" s="1" t="s">
        <v>4</v>
      </c>
      <c r="B565" s="3">
        <f>IFERROR(__xludf.DUMMYFUNCTION("""COMPUTED_VALUE"""),45796.66666666667)</f>
        <v>45796.66667</v>
      </c>
      <c r="C565" s="2">
        <f>IFERROR(__xludf.DUMMYFUNCTION("""COMPUTED_VALUE"""),206.16)</f>
        <v>206.16</v>
      </c>
      <c r="D565" s="2">
        <f t="shared" si="3"/>
        <v>0.00277250839</v>
      </c>
    </row>
    <row r="566">
      <c r="A566" s="1" t="s">
        <v>4</v>
      </c>
      <c r="B566" s="3">
        <f>IFERROR(__xludf.DUMMYFUNCTION("""COMPUTED_VALUE"""),45797.66666666667)</f>
        <v>45797.66667</v>
      </c>
      <c r="C566" s="2">
        <f>IFERROR(__xludf.DUMMYFUNCTION("""COMPUTED_VALUE"""),204.07)</f>
        <v>204.07</v>
      </c>
      <c r="D566" s="2">
        <f t="shared" si="3"/>
        <v>-0.01013775708</v>
      </c>
    </row>
    <row r="567">
      <c r="A567" s="1" t="s">
        <v>4</v>
      </c>
      <c r="B567" s="3">
        <f>IFERROR(__xludf.DUMMYFUNCTION("""COMPUTED_VALUE"""),45798.66666666667)</f>
        <v>45798.66667</v>
      </c>
      <c r="C567" s="2">
        <f>IFERROR(__xludf.DUMMYFUNCTION("""COMPUTED_VALUE"""),201.12)</f>
        <v>201.12</v>
      </c>
      <c r="D567" s="2">
        <f t="shared" si="3"/>
        <v>-0.01445582398</v>
      </c>
    </row>
    <row r="568">
      <c r="A568" s="1" t="s">
        <v>4</v>
      </c>
      <c r="B568" s="3">
        <f>IFERROR(__xludf.DUMMYFUNCTION("""COMPUTED_VALUE"""),45799.66666666667)</f>
        <v>45799.66667</v>
      </c>
      <c r="C568" s="2">
        <f>IFERROR(__xludf.DUMMYFUNCTION("""COMPUTED_VALUE"""),201.12)</f>
        <v>201.12</v>
      </c>
      <c r="D568" s="2">
        <f t="shared" si="3"/>
        <v>0</v>
      </c>
    </row>
    <row r="569">
      <c r="A569" s="1" t="s">
        <v>4</v>
      </c>
      <c r="B569" s="3">
        <f>IFERROR(__xludf.DUMMYFUNCTION("""COMPUTED_VALUE"""),45800.66666666667)</f>
        <v>45800.66667</v>
      </c>
      <c r="C569" s="2">
        <f>IFERROR(__xludf.DUMMYFUNCTION("""COMPUTED_VALUE"""),200.99)</f>
        <v>200.99</v>
      </c>
      <c r="D569" s="2">
        <f t="shared" si="3"/>
        <v>-0.0006463802705</v>
      </c>
    </row>
    <row r="570">
      <c r="A570" s="1" t="s">
        <v>4</v>
      </c>
      <c r="B570" s="3">
        <f>IFERROR(__xludf.DUMMYFUNCTION("""COMPUTED_VALUE"""),45804.66666666667)</f>
        <v>45804.66667</v>
      </c>
      <c r="C570" s="2">
        <f>IFERROR(__xludf.DUMMYFUNCTION("""COMPUTED_VALUE"""),206.02)</f>
        <v>206.02</v>
      </c>
      <c r="D570" s="2">
        <f t="shared" si="3"/>
        <v>0.0250261207</v>
      </c>
    </row>
    <row r="571">
      <c r="A571" s="1" t="s">
        <v>4</v>
      </c>
      <c r="B571" s="3">
        <f>IFERROR(__xludf.DUMMYFUNCTION("""COMPUTED_VALUE"""),45805.66666666667)</f>
        <v>45805.66667</v>
      </c>
      <c r="C571" s="2">
        <f>IFERROR(__xludf.DUMMYFUNCTION("""COMPUTED_VALUE"""),204.72)</f>
        <v>204.72</v>
      </c>
      <c r="D571" s="2">
        <f t="shared" si="3"/>
        <v>-0.006310066984</v>
      </c>
    </row>
    <row r="572">
      <c r="A572" s="1" t="s">
        <v>4</v>
      </c>
      <c r="B572" s="3">
        <f>IFERROR(__xludf.DUMMYFUNCTION("""COMPUTED_VALUE"""),45806.66666666667)</f>
        <v>45806.66667</v>
      </c>
      <c r="C572" s="2">
        <f>IFERROR(__xludf.DUMMYFUNCTION("""COMPUTED_VALUE"""),205.7)</f>
        <v>205.7</v>
      </c>
      <c r="D572" s="2">
        <f t="shared" si="3"/>
        <v>0.004787026182</v>
      </c>
    </row>
    <row r="573">
      <c r="A573" s="1" t="s">
        <v>4</v>
      </c>
      <c r="B573" s="3">
        <f>IFERROR(__xludf.DUMMYFUNCTION("""COMPUTED_VALUE"""),45807.66666666667)</f>
        <v>45807.66667</v>
      </c>
      <c r="C573" s="2">
        <f>IFERROR(__xludf.DUMMYFUNCTION("""COMPUTED_VALUE"""),205.01)</f>
        <v>205.01</v>
      </c>
      <c r="D573" s="2">
        <f t="shared" si="3"/>
        <v>-0.003354399611</v>
      </c>
    </row>
    <row r="574">
      <c r="A574" s="1" t="s">
        <v>4</v>
      </c>
      <c r="B574" s="3">
        <f>IFERROR(__xludf.DUMMYFUNCTION("""COMPUTED_VALUE"""),45810.66666666667)</f>
        <v>45810.66667</v>
      </c>
      <c r="C574" s="2">
        <f>IFERROR(__xludf.DUMMYFUNCTION("""COMPUTED_VALUE"""),206.65)</f>
        <v>206.65</v>
      </c>
      <c r="D574" s="2">
        <f t="shared" si="3"/>
        <v>0.007999609775</v>
      </c>
    </row>
    <row r="575">
      <c r="A575" s="1" t="s">
        <v>4</v>
      </c>
      <c r="B575" s="3">
        <f>IFERROR(__xludf.DUMMYFUNCTION("""COMPUTED_VALUE"""),45811.66666666667)</f>
        <v>45811.66667</v>
      </c>
      <c r="C575" s="2">
        <f>IFERROR(__xludf.DUMMYFUNCTION("""COMPUTED_VALUE"""),205.71)</f>
        <v>205.71</v>
      </c>
      <c r="D575" s="2">
        <f t="shared" si="3"/>
        <v>-0.004548753932</v>
      </c>
    </row>
    <row r="576">
      <c r="A576" s="1" t="s">
        <v>4</v>
      </c>
      <c r="B576" s="3">
        <f>IFERROR(__xludf.DUMMYFUNCTION("""COMPUTED_VALUE"""),45812.66666666667)</f>
        <v>45812.66667</v>
      </c>
      <c r="C576" s="2">
        <f>IFERROR(__xludf.DUMMYFUNCTION("""COMPUTED_VALUE"""),207.23)</f>
        <v>207.23</v>
      </c>
      <c r="D576" s="2">
        <f t="shared" si="3"/>
        <v>0.007389042827</v>
      </c>
    </row>
    <row r="577">
      <c r="A577" s="1" t="s">
        <v>4</v>
      </c>
      <c r="B577" s="3">
        <f>IFERROR(__xludf.DUMMYFUNCTION("""COMPUTED_VALUE"""),45813.66666666667)</f>
        <v>45813.66667</v>
      </c>
      <c r="C577" s="2">
        <f>IFERROR(__xludf.DUMMYFUNCTION("""COMPUTED_VALUE"""),207.91)</f>
        <v>207.91</v>
      </c>
      <c r="D577" s="2">
        <f t="shared" si="3"/>
        <v>0.003281378179</v>
      </c>
    </row>
    <row r="578">
      <c r="A578" s="1" t="s">
        <v>4</v>
      </c>
      <c r="B578" s="3">
        <f>IFERROR(__xludf.DUMMYFUNCTION("""COMPUTED_VALUE"""),45814.66666666667)</f>
        <v>45814.66667</v>
      </c>
      <c r="C578" s="2">
        <f>IFERROR(__xludf.DUMMYFUNCTION("""COMPUTED_VALUE"""),213.57)</f>
        <v>213.57</v>
      </c>
      <c r="D578" s="2">
        <f t="shared" si="3"/>
        <v>0.02722331778</v>
      </c>
    </row>
    <row r="579">
      <c r="A579" s="1" t="s">
        <v>4</v>
      </c>
      <c r="B579" s="3">
        <f>IFERROR(__xludf.DUMMYFUNCTION("""COMPUTED_VALUE"""),45817.66666666667)</f>
        <v>45817.66667</v>
      </c>
      <c r="C579" s="2">
        <f>IFERROR(__xludf.DUMMYFUNCTION("""COMPUTED_VALUE"""),216.98)</f>
        <v>216.98</v>
      </c>
      <c r="D579" s="2">
        <f t="shared" si="3"/>
        <v>0.01596666198</v>
      </c>
    </row>
    <row r="580">
      <c r="A580" s="1" t="s">
        <v>4</v>
      </c>
      <c r="B580" s="3">
        <f>IFERROR(__xludf.DUMMYFUNCTION("""COMPUTED_VALUE"""),45818.66666666667)</f>
        <v>45818.66667</v>
      </c>
      <c r="C580" s="2">
        <f>IFERROR(__xludf.DUMMYFUNCTION("""COMPUTED_VALUE"""),217.61)</f>
        <v>217.61</v>
      </c>
      <c r="D580" s="2">
        <f t="shared" si="3"/>
        <v>0.00290349341</v>
      </c>
    </row>
    <row r="581">
      <c r="A581" s="1" t="s">
        <v>4</v>
      </c>
      <c r="B581" s="3">
        <f>IFERROR(__xludf.DUMMYFUNCTION("""COMPUTED_VALUE"""),45819.66666666667)</f>
        <v>45819.66667</v>
      </c>
      <c r="C581" s="2">
        <f>IFERROR(__xludf.DUMMYFUNCTION("""COMPUTED_VALUE"""),213.2)</f>
        <v>213.2</v>
      </c>
      <c r="D581" s="2">
        <f t="shared" si="3"/>
        <v>-0.02026561279</v>
      </c>
    </row>
    <row r="582">
      <c r="A582" s="1" t="s">
        <v>4</v>
      </c>
      <c r="B582" s="3">
        <f>IFERROR(__xludf.DUMMYFUNCTION("""COMPUTED_VALUE"""),45820.66666666667)</f>
        <v>45820.66667</v>
      </c>
      <c r="C582" s="2">
        <f>IFERROR(__xludf.DUMMYFUNCTION("""COMPUTED_VALUE"""),213.24)</f>
        <v>213.24</v>
      </c>
      <c r="D582" s="2">
        <f t="shared" si="3"/>
        <v>0.0001876172608</v>
      </c>
    </row>
    <row r="583">
      <c r="A583" s="1" t="s">
        <v>4</v>
      </c>
      <c r="B583" s="3">
        <f>IFERROR(__xludf.DUMMYFUNCTION("""COMPUTED_VALUE"""),45821.66666666667)</f>
        <v>45821.66667</v>
      </c>
      <c r="C583" s="2">
        <f>IFERROR(__xludf.DUMMYFUNCTION("""COMPUTED_VALUE"""),212.1)</f>
        <v>212.1</v>
      </c>
      <c r="D583" s="2">
        <f t="shared" si="3"/>
        <v>-0.005346088914</v>
      </c>
    </row>
    <row r="584">
      <c r="A584" s="1" t="s">
        <v>4</v>
      </c>
      <c r="B584" s="3">
        <f>IFERROR(__xludf.DUMMYFUNCTION("""COMPUTED_VALUE"""),45824.66666666667)</f>
        <v>45824.66667</v>
      </c>
      <c r="C584" s="2">
        <f>IFERROR(__xludf.DUMMYFUNCTION("""COMPUTED_VALUE"""),216.1)</f>
        <v>216.1</v>
      </c>
      <c r="D584" s="2">
        <f t="shared" si="3"/>
        <v>0.01885902876</v>
      </c>
    </row>
    <row r="585">
      <c r="A585" s="1" t="s">
        <v>4</v>
      </c>
      <c r="B585" s="3">
        <f>IFERROR(__xludf.DUMMYFUNCTION("""COMPUTED_VALUE"""),45825.66666666667)</f>
        <v>45825.66667</v>
      </c>
      <c r="C585" s="2">
        <f>IFERROR(__xludf.DUMMYFUNCTION("""COMPUTED_VALUE"""),214.82)</f>
        <v>214.82</v>
      </c>
      <c r="D585" s="2">
        <f t="shared" si="3"/>
        <v>-0.005923183711</v>
      </c>
    </row>
    <row r="586">
      <c r="A586" s="1" t="s">
        <v>4</v>
      </c>
      <c r="B586" s="3">
        <f>IFERROR(__xludf.DUMMYFUNCTION("""COMPUTED_VALUE"""),45826.66666666667)</f>
        <v>45826.66667</v>
      </c>
      <c r="C586" s="2">
        <f>IFERROR(__xludf.DUMMYFUNCTION("""COMPUTED_VALUE"""),212.52)</f>
        <v>212.52</v>
      </c>
      <c r="D586" s="2">
        <f t="shared" si="3"/>
        <v>-0.01070663812</v>
      </c>
    </row>
    <row r="587">
      <c r="A587" s="1" t="s">
        <v>4</v>
      </c>
      <c r="B587" s="3">
        <f>IFERROR(__xludf.DUMMYFUNCTION("""COMPUTED_VALUE"""),45828.66666666667)</f>
        <v>45828.66667</v>
      </c>
      <c r="C587" s="2">
        <f>IFERROR(__xludf.DUMMYFUNCTION("""COMPUTED_VALUE"""),209.69)</f>
        <v>209.69</v>
      </c>
      <c r="D587" s="2">
        <f t="shared" si="3"/>
        <v>-0.01331639375</v>
      </c>
    </row>
    <row r="588">
      <c r="A588" s="1" t="s">
        <v>4</v>
      </c>
      <c r="B588" s="3">
        <f>IFERROR(__xludf.DUMMYFUNCTION("""COMPUTED_VALUE"""),45831.66666666667)</f>
        <v>45831.66667</v>
      </c>
      <c r="C588" s="2">
        <f>IFERROR(__xludf.DUMMYFUNCTION("""COMPUTED_VALUE"""),208.47)</f>
        <v>208.47</v>
      </c>
      <c r="D588" s="2">
        <f t="shared" si="3"/>
        <v>-0.005818112452</v>
      </c>
    </row>
    <row r="589">
      <c r="A589" s="1" t="s">
        <v>4</v>
      </c>
      <c r="B589" s="3">
        <f>IFERROR(__xludf.DUMMYFUNCTION("""COMPUTED_VALUE"""),45832.66666666667)</f>
        <v>45832.66667</v>
      </c>
      <c r="C589" s="2">
        <f>IFERROR(__xludf.DUMMYFUNCTION("""COMPUTED_VALUE"""),212.77)</f>
        <v>212.77</v>
      </c>
      <c r="D589" s="2">
        <f t="shared" si="3"/>
        <v>0.02062646904</v>
      </c>
    </row>
    <row r="590">
      <c r="A590" s="1" t="s">
        <v>4</v>
      </c>
      <c r="B590" s="3">
        <f>IFERROR(__xludf.DUMMYFUNCTION("""COMPUTED_VALUE"""),45833.66666666667)</f>
        <v>45833.66667</v>
      </c>
      <c r="C590" s="2">
        <f>IFERROR(__xludf.DUMMYFUNCTION("""COMPUTED_VALUE"""),211.99)</f>
        <v>211.99</v>
      </c>
      <c r="D590" s="2">
        <f t="shared" si="3"/>
        <v>-0.003665930347</v>
      </c>
    </row>
    <row r="591">
      <c r="A591" s="1" t="s">
        <v>4</v>
      </c>
      <c r="B591" s="3">
        <f>IFERROR(__xludf.DUMMYFUNCTION("""COMPUTED_VALUE"""),45834.66666666667)</f>
        <v>45834.66667</v>
      </c>
      <c r="C591" s="2">
        <f>IFERROR(__xludf.DUMMYFUNCTION("""COMPUTED_VALUE"""),217.12)</f>
        <v>217.12</v>
      </c>
      <c r="D591" s="2">
        <f t="shared" si="3"/>
        <v>0.02419925468</v>
      </c>
    </row>
    <row r="592">
      <c r="A592" s="1" t="s">
        <v>4</v>
      </c>
      <c r="B592" s="3">
        <f>IFERROR(__xludf.DUMMYFUNCTION("""COMPUTED_VALUE"""),45835.66666666667)</f>
        <v>45835.66667</v>
      </c>
      <c r="C592" s="2">
        <f>IFERROR(__xludf.DUMMYFUNCTION("""COMPUTED_VALUE"""),223.3)</f>
        <v>223.3</v>
      </c>
      <c r="D592" s="2">
        <f t="shared" si="3"/>
        <v>0.02846352248</v>
      </c>
    </row>
    <row r="593">
      <c r="A593" s="1" t="s">
        <v>4</v>
      </c>
      <c r="B593" s="3">
        <f>IFERROR(__xludf.DUMMYFUNCTION("""COMPUTED_VALUE"""),45838.66666666667)</f>
        <v>45838.66667</v>
      </c>
      <c r="C593" s="2">
        <f>IFERROR(__xludf.DUMMYFUNCTION("""COMPUTED_VALUE"""),219.39)</f>
        <v>219.39</v>
      </c>
      <c r="D593" s="2">
        <f t="shared" si="3"/>
        <v>-0.01751007613</v>
      </c>
    </row>
    <row r="594">
      <c r="A594" s="1" t="s">
        <v>4</v>
      </c>
      <c r="B594" s="3">
        <f>IFERROR(__xludf.DUMMYFUNCTION("""COMPUTED_VALUE"""),45839.66666666667)</f>
        <v>45839.66667</v>
      </c>
      <c r="C594" s="2">
        <f>IFERROR(__xludf.DUMMYFUNCTION("""COMPUTED_VALUE"""),220.46)</f>
        <v>220.46</v>
      </c>
      <c r="D594" s="2">
        <f t="shared" si="3"/>
        <v>0.004877159397</v>
      </c>
    </row>
    <row r="595">
      <c r="A595" s="1" t="s">
        <v>4</v>
      </c>
      <c r="B595" s="3">
        <f>IFERROR(__xludf.DUMMYFUNCTION("""COMPUTED_VALUE"""),45840.66666666667)</f>
        <v>45840.66667</v>
      </c>
      <c r="C595" s="2">
        <f>IFERROR(__xludf.DUMMYFUNCTION("""COMPUTED_VALUE"""),219.92)</f>
        <v>219.92</v>
      </c>
      <c r="D595" s="2">
        <f t="shared" si="3"/>
        <v>-0.002449423932</v>
      </c>
    </row>
    <row r="596">
      <c r="A596" s="1" t="s">
        <v>4</v>
      </c>
      <c r="B596" s="3">
        <f>IFERROR(__xludf.DUMMYFUNCTION("""COMPUTED_VALUE"""),45841.54513888889)</f>
        <v>45841.54514</v>
      </c>
      <c r="C596" s="2">
        <f>IFERROR(__xludf.DUMMYFUNCTION("""COMPUTED_VALUE"""),223.41)</f>
        <v>223.41</v>
      </c>
      <c r="D596" s="2">
        <f t="shared" si="3"/>
        <v>0.01586940706</v>
      </c>
    </row>
    <row r="597">
      <c r="A597" s="1" t="s">
        <v>4</v>
      </c>
      <c r="B597" s="3">
        <f>IFERROR(__xludf.DUMMYFUNCTION("""COMPUTED_VALUE"""),45845.66666666667)</f>
        <v>45845.66667</v>
      </c>
      <c r="C597" s="2">
        <f>IFERROR(__xludf.DUMMYFUNCTION("""COMPUTED_VALUE"""),223.47)</f>
        <v>223.47</v>
      </c>
      <c r="D597" s="2">
        <f t="shared" si="3"/>
        <v>0.0002685645226</v>
      </c>
    </row>
    <row r="598">
      <c r="A598" s="1" t="s">
        <v>4</v>
      </c>
      <c r="B598" s="3">
        <f>IFERROR(__xludf.DUMMYFUNCTION("""COMPUTED_VALUE"""),45846.66666666667)</f>
        <v>45846.66667</v>
      </c>
      <c r="C598" s="2">
        <f>IFERROR(__xludf.DUMMYFUNCTION("""COMPUTED_VALUE"""),219.36)</f>
        <v>219.36</v>
      </c>
      <c r="D598" s="2">
        <f t="shared" si="3"/>
        <v>-0.01839173043</v>
      </c>
    </row>
    <row r="599">
      <c r="A599" s="1" t="s">
        <v>4</v>
      </c>
      <c r="B599" s="3">
        <f>IFERROR(__xludf.DUMMYFUNCTION("""COMPUTED_VALUE"""),45847.66666666667)</f>
        <v>45847.66667</v>
      </c>
      <c r="C599" s="2">
        <f>IFERROR(__xludf.DUMMYFUNCTION("""COMPUTED_VALUE"""),222.54)</f>
        <v>222.54</v>
      </c>
      <c r="D599" s="2">
        <f t="shared" si="3"/>
        <v>0.01449671772</v>
      </c>
    </row>
    <row r="600">
      <c r="A600" s="1" t="s">
        <v>4</v>
      </c>
      <c r="B600" s="3">
        <f>IFERROR(__xludf.DUMMYFUNCTION("""COMPUTED_VALUE"""),45848.66666666667)</f>
        <v>45848.66667</v>
      </c>
      <c r="C600" s="2">
        <f>IFERROR(__xludf.DUMMYFUNCTION("""COMPUTED_VALUE"""),222.26)</f>
        <v>222.26</v>
      </c>
      <c r="D600" s="2">
        <f t="shared" si="3"/>
        <v>-0.001258200773</v>
      </c>
    </row>
    <row r="601">
      <c r="A601" s="1" t="s">
        <v>4</v>
      </c>
      <c r="B601" s="3">
        <f>IFERROR(__xludf.DUMMYFUNCTION("""COMPUTED_VALUE"""),45849.66666666667)</f>
        <v>45849.66667</v>
      </c>
      <c r="C601" s="2">
        <f>IFERROR(__xludf.DUMMYFUNCTION("""COMPUTED_VALUE"""),225.02)</f>
        <v>225.02</v>
      </c>
      <c r="D601" s="2">
        <f t="shared" si="3"/>
        <v>0.01241788896</v>
      </c>
    </row>
    <row r="602">
      <c r="A602" s="1" t="s">
        <v>4</v>
      </c>
      <c r="B602" s="3">
        <f>IFERROR(__xludf.DUMMYFUNCTION("""COMPUTED_VALUE"""),45852.66666666667)</f>
        <v>45852.66667</v>
      </c>
      <c r="C602" s="2">
        <f>IFERROR(__xludf.DUMMYFUNCTION("""COMPUTED_VALUE"""),225.69)</f>
        <v>225.69</v>
      </c>
      <c r="D602" s="2">
        <f t="shared" si="3"/>
        <v>0.00297751311</v>
      </c>
    </row>
    <row r="603">
      <c r="A603" s="1" t="s">
        <v>4</v>
      </c>
      <c r="B603" s="3">
        <f>IFERROR(__xludf.DUMMYFUNCTION("""COMPUTED_VALUE"""),45853.66666666667)</f>
        <v>45853.66667</v>
      </c>
      <c r="C603" s="2">
        <f>IFERROR(__xludf.DUMMYFUNCTION("""COMPUTED_VALUE"""),226.35)</f>
        <v>226.35</v>
      </c>
      <c r="D603" s="2">
        <f t="shared" si="3"/>
        <v>0.00292436528</v>
      </c>
    </row>
    <row r="604">
      <c r="A604" s="1" t="s">
        <v>4</v>
      </c>
      <c r="B604" s="3">
        <f>IFERROR(__xludf.DUMMYFUNCTION("""COMPUTED_VALUE"""),45854.66666666667)</f>
        <v>45854.66667</v>
      </c>
      <c r="C604" s="2">
        <f>IFERROR(__xludf.DUMMYFUNCTION("""COMPUTED_VALUE"""),223.19)</f>
        <v>223.19</v>
      </c>
      <c r="D604" s="2">
        <f t="shared" si="3"/>
        <v>-0.01396068036</v>
      </c>
    </row>
    <row r="605">
      <c r="A605" s="1" t="s">
        <v>4</v>
      </c>
      <c r="B605" s="3">
        <f>IFERROR(__xludf.DUMMYFUNCTION("""COMPUTED_VALUE"""),45855.66666666667)</f>
        <v>45855.66667</v>
      </c>
      <c r="C605" s="2">
        <f>IFERROR(__xludf.DUMMYFUNCTION("""COMPUTED_VALUE"""),223.88)</f>
        <v>223.88</v>
      </c>
      <c r="D605" s="2">
        <f t="shared" si="3"/>
        <v>0.003091536359</v>
      </c>
    </row>
    <row r="606">
      <c r="A606" s="1" t="s">
        <v>4</v>
      </c>
      <c r="B606" s="3">
        <f>IFERROR(__xludf.DUMMYFUNCTION("""COMPUTED_VALUE"""),45856.66666666667)</f>
        <v>45856.66667</v>
      </c>
      <c r="C606" s="2">
        <f>IFERROR(__xludf.DUMMYFUNCTION("""COMPUTED_VALUE"""),226.13)</f>
        <v>226.13</v>
      </c>
      <c r="D606" s="2">
        <f t="shared" si="3"/>
        <v>0.0100500268</v>
      </c>
    </row>
    <row r="607">
      <c r="A607" s="1" t="s">
        <v>4</v>
      </c>
      <c r="B607" s="3">
        <f>IFERROR(__xludf.DUMMYFUNCTION("""COMPUTED_VALUE"""),45859.66666666667)</f>
        <v>45859.66667</v>
      </c>
      <c r="C607" s="2">
        <f>IFERROR(__xludf.DUMMYFUNCTION("""COMPUTED_VALUE"""),229.3)</f>
        <v>229.3</v>
      </c>
      <c r="D607" s="2">
        <f t="shared" si="3"/>
        <v>0.01401848494</v>
      </c>
    </row>
    <row r="608">
      <c r="A608" s="1" t="s">
        <v>4</v>
      </c>
      <c r="B608" s="3">
        <f>IFERROR(__xludf.DUMMYFUNCTION("""COMPUTED_VALUE"""),45860.66666666667)</f>
        <v>45860.66667</v>
      </c>
      <c r="C608" s="2">
        <f>IFERROR(__xludf.DUMMYFUNCTION("""COMPUTED_VALUE"""),227.47)</f>
        <v>227.47</v>
      </c>
      <c r="D608" s="2">
        <f t="shared" si="3"/>
        <v>-0.007980811164</v>
      </c>
    </row>
    <row r="609">
      <c r="A609" s="1" t="s">
        <v>4</v>
      </c>
      <c r="B609" s="3">
        <f>IFERROR(__xludf.DUMMYFUNCTION("""COMPUTED_VALUE"""),45861.66666666667)</f>
        <v>45861.66667</v>
      </c>
      <c r="C609" s="2">
        <f>IFERROR(__xludf.DUMMYFUNCTION("""COMPUTED_VALUE"""),228.29)</f>
        <v>228.29</v>
      </c>
      <c r="D609" s="2">
        <f t="shared" si="3"/>
        <v>0.003604870972</v>
      </c>
    </row>
    <row r="610">
      <c r="A610" s="1" t="s">
        <v>4</v>
      </c>
      <c r="B610" s="3">
        <f>IFERROR(__xludf.DUMMYFUNCTION("""COMPUTED_VALUE"""),45862.66666666667)</f>
        <v>45862.66667</v>
      </c>
      <c r="C610" s="2">
        <f>IFERROR(__xludf.DUMMYFUNCTION("""COMPUTED_VALUE"""),232.23)</f>
        <v>232.23</v>
      </c>
      <c r="D610" s="2">
        <f t="shared" si="3"/>
        <v>0.01725874984</v>
      </c>
    </row>
    <row r="611">
      <c r="A611" s="1" t="s">
        <v>4</v>
      </c>
      <c r="B611" s="3">
        <f>IFERROR(__xludf.DUMMYFUNCTION("""COMPUTED_VALUE"""),45863.66666666667)</f>
        <v>45863.66667</v>
      </c>
      <c r="C611" s="2">
        <f>IFERROR(__xludf.DUMMYFUNCTION("""COMPUTED_VALUE"""),231.44)</f>
        <v>231.44</v>
      </c>
      <c r="D611" s="2">
        <f t="shared" si="3"/>
        <v>-0.00340179994</v>
      </c>
    </row>
    <row r="612">
      <c r="A612" s="1" t="s">
        <v>4</v>
      </c>
      <c r="B612" s="3">
        <f>IFERROR(__xludf.DUMMYFUNCTION("""COMPUTED_VALUE"""),45866.66666666667)</f>
        <v>45866.66667</v>
      </c>
      <c r="C612" s="2">
        <f>IFERROR(__xludf.DUMMYFUNCTION("""COMPUTED_VALUE"""),232.79)</f>
        <v>232.79</v>
      </c>
      <c r="D612" s="2">
        <f t="shared" si="3"/>
        <v>0.005833045282</v>
      </c>
    </row>
    <row r="613">
      <c r="A613" s="1" t="s">
        <v>4</v>
      </c>
      <c r="B613" s="3">
        <f>IFERROR(__xludf.DUMMYFUNCTION("""COMPUTED_VALUE"""),45867.66666666667)</f>
        <v>45867.66667</v>
      </c>
      <c r="C613" s="2">
        <f>IFERROR(__xludf.DUMMYFUNCTION("""COMPUTED_VALUE"""),231.01)</f>
        <v>231.01</v>
      </c>
      <c r="D613" s="2">
        <f t="shared" si="3"/>
        <v>-0.007646376563</v>
      </c>
    </row>
    <row r="614">
      <c r="A614" s="1" t="s">
        <v>4</v>
      </c>
      <c r="B614" s="3">
        <f>IFERROR(__xludf.DUMMYFUNCTION("""COMPUTED_VALUE"""),45868.66666666667)</f>
        <v>45868.66667</v>
      </c>
      <c r="C614" s="2">
        <f>IFERROR(__xludf.DUMMYFUNCTION("""COMPUTED_VALUE"""),230.19)</f>
        <v>230.19</v>
      </c>
      <c r="D614" s="2">
        <f t="shared" si="3"/>
        <v>-0.003549629886</v>
      </c>
    </row>
    <row r="615">
      <c r="A615" s="1" t="s">
        <v>4</v>
      </c>
      <c r="B615" s="3">
        <f>IFERROR(__xludf.DUMMYFUNCTION("""COMPUTED_VALUE"""),45869.66666666667)</f>
        <v>45869.66667</v>
      </c>
      <c r="C615" s="2">
        <f>IFERROR(__xludf.DUMMYFUNCTION("""COMPUTED_VALUE"""),234.11)</f>
        <v>234.11</v>
      </c>
      <c r="D615" s="2">
        <f t="shared" si="3"/>
        <v>0.01702941049</v>
      </c>
    </row>
    <row r="616">
      <c r="A616" s="1" t="s">
        <v>4</v>
      </c>
      <c r="B616" s="3">
        <f>IFERROR(__xludf.DUMMYFUNCTION("""COMPUTED_VALUE"""),45870.66666666667)</f>
        <v>45870.66667</v>
      </c>
      <c r="C616" s="2">
        <f>IFERROR(__xludf.DUMMYFUNCTION("""COMPUTED_VALUE"""),214.75)</f>
        <v>214.75</v>
      </c>
      <c r="D616" s="2">
        <f t="shared" si="3"/>
        <v>-0.08269616847</v>
      </c>
    </row>
    <row r="617">
      <c r="A617" s="1" t="s">
        <v>4</v>
      </c>
      <c r="B617" s="3">
        <f>IFERROR(__xludf.DUMMYFUNCTION("""COMPUTED_VALUE"""),45873.66666666667)</f>
        <v>45873.66667</v>
      </c>
      <c r="C617" s="2">
        <f>IFERROR(__xludf.DUMMYFUNCTION("""COMPUTED_VALUE"""),211.65)</f>
        <v>211.65</v>
      </c>
      <c r="D617" s="2">
        <f t="shared" si="3"/>
        <v>-0.01443538999</v>
      </c>
    </row>
    <row r="618">
      <c r="A618" s="1" t="s">
        <v>4</v>
      </c>
      <c r="B618" s="3">
        <f>IFERROR(__xludf.DUMMYFUNCTION("""COMPUTED_VALUE"""),45874.66666666667)</f>
        <v>45874.66667</v>
      </c>
      <c r="C618" s="2">
        <f>IFERROR(__xludf.DUMMYFUNCTION("""COMPUTED_VALUE"""),213.75)</f>
        <v>213.75</v>
      </c>
      <c r="D618" s="2">
        <f t="shared" si="3"/>
        <v>0.009922041106</v>
      </c>
    </row>
    <row r="619">
      <c r="A619" s="1" t="s">
        <v>4</v>
      </c>
      <c r="B619" s="3">
        <f>IFERROR(__xludf.DUMMYFUNCTION("""COMPUTED_VALUE"""),45875.66666666667)</f>
        <v>45875.66667</v>
      </c>
      <c r="C619" s="2">
        <f>IFERROR(__xludf.DUMMYFUNCTION("""COMPUTED_VALUE"""),222.31)</f>
        <v>222.31</v>
      </c>
      <c r="D619" s="2">
        <f t="shared" si="3"/>
        <v>0.04004678363</v>
      </c>
    </row>
    <row r="620">
      <c r="A620" s="1" t="s">
        <v>4</v>
      </c>
      <c r="B620" s="3">
        <f>IFERROR(__xludf.DUMMYFUNCTION("""COMPUTED_VALUE"""),45876.66666666667)</f>
        <v>45876.66667</v>
      </c>
      <c r="C620" s="2">
        <f>IFERROR(__xludf.DUMMYFUNCTION("""COMPUTED_VALUE"""),223.13)</f>
        <v>223.13</v>
      </c>
      <c r="D620" s="2">
        <f t="shared" si="3"/>
        <v>0.003688543026</v>
      </c>
    </row>
    <row r="621">
      <c r="A621" s="1" t="s">
        <v>4</v>
      </c>
      <c r="B621" s="3">
        <f>IFERROR(__xludf.DUMMYFUNCTION("""COMPUTED_VALUE"""),45877.66666666667)</f>
        <v>45877.66667</v>
      </c>
      <c r="C621" s="2">
        <f>IFERROR(__xludf.DUMMYFUNCTION("""COMPUTED_VALUE"""),222.69)</f>
        <v>222.69</v>
      </c>
      <c r="D621" s="2">
        <f t="shared" si="3"/>
        <v>-0.001971944606</v>
      </c>
    </row>
    <row r="622">
      <c r="A622" s="1" t="s">
        <v>4</v>
      </c>
      <c r="B622" s="3">
        <f>IFERROR(__xludf.DUMMYFUNCTION("""COMPUTED_VALUE"""),45880.66666666667)</f>
        <v>45880.66667</v>
      </c>
      <c r="C622" s="2">
        <f>IFERROR(__xludf.DUMMYFUNCTION("""COMPUTED_VALUE"""),221.3)</f>
        <v>221.3</v>
      </c>
      <c r="D622" s="2">
        <f t="shared" si="3"/>
        <v>-0.006241860883</v>
      </c>
    </row>
    <row r="623">
      <c r="A623" s="1" t="s">
        <v>4</v>
      </c>
      <c r="B623" s="3">
        <f>IFERROR(__xludf.DUMMYFUNCTION("""COMPUTED_VALUE"""),45881.66666666667)</f>
        <v>45881.66667</v>
      </c>
      <c r="C623" s="2">
        <f>IFERROR(__xludf.DUMMYFUNCTION("""COMPUTED_VALUE"""),221.47)</f>
        <v>221.47</v>
      </c>
      <c r="D623" s="2">
        <f t="shared" si="3"/>
        <v>0.0007681879801</v>
      </c>
    </row>
    <row r="624">
      <c r="A624" s="1" t="s">
        <v>4</v>
      </c>
      <c r="B624" s="3">
        <f>IFERROR(__xludf.DUMMYFUNCTION("""COMPUTED_VALUE"""),45882.66666666667)</f>
        <v>45882.66667</v>
      </c>
      <c r="C624" s="2">
        <f>IFERROR(__xludf.DUMMYFUNCTION("""COMPUTED_VALUE"""),224.56)</f>
        <v>224.56</v>
      </c>
      <c r="D624" s="2">
        <f t="shared" si="3"/>
        <v>0.01395222829</v>
      </c>
    </row>
    <row r="625">
      <c r="A625" s="1" t="s">
        <v>4</v>
      </c>
      <c r="B625" s="3">
        <f>IFERROR(__xludf.DUMMYFUNCTION("""COMPUTED_VALUE"""),45883.66666666667)</f>
        <v>45883.66667</v>
      </c>
      <c r="C625" s="2">
        <f>IFERROR(__xludf.DUMMYFUNCTION("""COMPUTED_VALUE"""),230.98)</f>
        <v>230.98</v>
      </c>
      <c r="D625" s="2">
        <f t="shared" si="3"/>
        <v>0.02858924118</v>
      </c>
    </row>
    <row r="626">
      <c r="A626" s="1" t="s">
        <v>4</v>
      </c>
      <c r="B626" s="3">
        <f>IFERROR(__xludf.DUMMYFUNCTION("""COMPUTED_VALUE"""),45884.66666666667)</f>
        <v>45884.66667</v>
      </c>
      <c r="C626" s="2">
        <f>IFERROR(__xludf.DUMMYFUNCTION("""COMPUTED_VALUE"""),231.03)</f>
        <v>231.03</v>
      </c>
      <c r="D626" s="2">
        <f t="shared" si="3"/>
        <v>0.0002164689584</v>
      </c>
    </row>
    <row r="627">
      <c r="A627" s="1" t="s">
        <v>4</v>
      </c>
      <c r="B627" s="3">
        <f>IFERROR(__xludf.DUMMYFUNCTION("""COMPUTED_VALUE"""),45887.66666666667)</f>
        <v>45887.66667</v>
      </c>
      <c r="C627" s="2">
        <f>IFERROR(__xludf.DUMMYFUNCTION("""COMPUTED_VALUE"""),231.49)</f>
        <v>231.49</v>
      </c>
      <c r="D627" s="2">
        <f t="shared" si="3"/>
        <v>0.001991083409</v>
      </c>
    </row>
    <row r="628">
      <c r="A628" s="1" t="s">
        <v>4</v>
      </c>
      <c r="B628" s="3">
        <f>IFERROR(__xludf.DUMMYFUNCTION("""COMPUTED_VALUE"""),45888.66666666667)</f>
        <v>45888.66667</v>
      </c>
      <c r="C628" s="2">
        <f>IFERROR(__xludf.DUMMYFUNCTION("""COMPUTED_VALUE"""),228.01)</f>
        <v>228.01</v>
      </c>
      <c r="D628" s="2">
        <f t="shared" si="3"/>
        <v>-0.01503304678</v>
      </c>
    </row>
    <row r="629">
      <c r="A629" s="1" t="s">
        <v>4</v>
      </c>
      <c r="B629" s="3">
        <f>IFERROR(__xludf.DUMMYFUNCTION("""COMPUTED_VALUE"""),45889.66666666667)</f>
        <v>45889.66667</v>
      </c>
      <c r="C629" s="2">
        <f>IFERROR(__xludf.DUMMYFUNCTION("""COMPUTED_VALUE"""),223.81)</f>
        <v>223.81</v>
      </c>
      <c r="D629" s="2">
        <f t="shared" si="3"/>
        <v>-0.01842024473</v>
      </c>
    </row>
    <row r="630">
      <c r="A630" s="1" t="s">
        <v>4</v>
      </c>
      <c r="B630" s="3">
        <f>IFERROR(__xludf.DUMMYFUNCTION("""COMPUTED_VALUE"""),45890.66666666667)</f>
        <v>45890.66667</v>
      </c>
      <c r="C630" s="2">
        <f>IFERROR(__xludf.DUMMYFUNCTION("""COMPUTED_VALUE"""),221.95)</f>
        <v>221.95</v>
      </c>
      <c r="D630" s="2">
        <f t="shared" si="3"/>
        <v>-0.008310620616</v>
      </c>
    </row>
    <row r="631">
      <c r="A631" s="1" t="s">
        <v>4</v>
      </c>
      <c r="B631" s="3">
        <f>IFERROR(__xludf.DUMMYFUNCTION("""COMPUTED_VALUE"""),45891.66666666667)</f>
        <v>45891.66667</v>
      </c>
      <c r="C631" s="2">
        <f>IFERROR(__xludf.DUMMYFUNCTION("""COMPUTED_VALUE"""),228.84)</f>
        <v>228.84</v>
      </c>
      <c r="D631" s="2">
        <f t="shared" si="3"/>
        <v>0.03104302771</v>
      </c>
    </row>
    <row r="632">
      <c r="A632" s="1" t="s">
        <v>4</v>
      </c>
      <c r="B632" s="3">
        <f>IFERROR(__xludf.DUMMYFUNCTION("""COMPUTED_VALUE"""),45894.66666666667)</f>
        <v>45894.66667</v>
      </c>
      <c r="C632" s="2">
        <f>IFERROR(__xludf.DUMMYFUNCTION("""COMPUTED_VALUE"""),227.94)</f>
        <v>227.94</v>
      </c>
      <c r="D632" s="2">
        <f t="shared" si="3"/>
        <v>-0.003932878867</v>
      </c>
    </row>
    <row r="633">
      <c r="A633" s="1" t="s">
        <v>4</v>
      </c>
      <c r="B633" s="3">
        <f>IFERROR(__xludf.DUMMYFUNCTION("""COMPUTED_VALUE"""),45895.66666666667)</f>
        <v>45895.66667</v>
      </c>
      <c r="C633" s="2">
        <f>IFERROR(__xludf.DUMMYFUNCTION("""COMPUTED_VALUE"""),228.71)</f>
        <v>228.71</v>
      </c>
      <c r="D633" s="2">
        <f t="shared" si="3"/>
        <v>0.003378081951</v>
      </c>
    </row>
    <row r="634">
      <c r="A634" s="1" t="s">
        <v>4</v>
      </c>
      <c r="B634" s="3">
        <f>IFERROR(__xludf.DUMMYFUNCTION("""COMPUTED_VALUE"""),45896.66666666667)</f>
        <v>45896.66667</v>
      </c>
      <c r="C634" s="2">
        <f>IFERROR(__xludf.DUMMYFUNCTION("""COMPUTED_VALUE"""),229.12)</f>
        <v>229.12</v>
      </c>
      <c r="D634" s="2">
        <f t="shared" si="3"/>
        <v>0.001792663198</v>
      </c>
    </row>
    <row r="635">
      <c r="A635" s="1" t="s">
        <v>4</v>
      </c>
      <c r="B635" s="3">
        <f>IFERROR(__xludf.DUMMYFUNCTION("""COMPUTED_VALUE"""),45897.66666666667)</f>
        <v>45897.66667</v>
      </c>
      <c r="C635" s="2">
        <f>IFERROR(__xludf.DUMMYFUNCTION("""COMPUTED_VALUE"""),231.6)</f>
        <v>231.6</v>
      </c>
      <c r="D635" s="2">
        <f t="shared" si="3"/>
        <v>0.01082402235</v>
      </c>
    </row>
    <row r="636">
      <c r="A636" s="1" t="s">
        <v>4</v>
      </c>
      <c r="B636" s="3">
        <f>IFERROR(__xludf.DUMMYFUNCTION("""COMPUTED_VALUE"""),45898.66666666667)</f>
        <v>45898.66667</v>
      </c>
      <c r="C636" s="2">
        <f>IFERROR(__xludf.DUMMYFUNCTION("""COMPUTED_VALUE"""),229.0)</f>
        <v>229</v>
      </c>
      <c r="D636" s="2">
        <f t="shared" si="3"/>
        <v>-0.01122625216</v>
      </c>
    </row>
    <row r="637">
      <c r="A637" s="1" t="s">
        <v>4</v>
      </c>
      <c r="B637" s="3">
        <f>IFERROR(__xludf.DUMMYFUNCTION("""COMPUTED_VALUE"""),45902.66666666667)</f>
        <v>45902.66667</v>
      </c>
      <c r="C637" s="2">
        <f>IFERROR(__xludf.DUMMYFUNCTION("""COMPUTED_VALUE"""),225.34)</f>
        <v>225.34</v>
      </c>
      <c r="D637" s="2">
        <f t="shared" si="3"/>
        <v>-0.01598253275</v>
      </c>
    </row>
    <row r="638">
      <c r="A638" s="1" t="s">
        <v>4</v>
      </c>
      <c r="B638" s="3">
        <f>IFERROR(__xludf.DUMMYFUNCTION("""COMPUTED_VALUE"""),45903.66666666667)</f>
        <v>45903.66667</v>
      </c>
      <c r="C638" s="2">
        <f>IFERROR(__xludf.DUMMYFUNCTION("""COMPUTED_VALUE"""),225.99)</f>
        <v>225.99</v>
      </c>
      <c r="D638" s="2">
        <f t="shared" si="3"/>
        <v>0.002884530043</v>
      </c>
    </row>
    <row r="639">
      <c r="A639" s="1" t="s">
        <v>4</v>
      </c>
      <c r="B639" s="3">
        <f>IFERROR(__xludf.DUMMYFUNCTION("""COMPUTED_VALUE"""),45904.66666666667)</f>
        <v>45904.66667</v>
      </c>
      <c r="C639" s="2">
        <f>IFERROR(__xludf.DUMMYFUNCTION("""COMPUTED_VALUE"""),235.68)</f>
        <v>235.68</v>
      </c>
      <c r="D639" s="2">
        <f t="shared" si="3"/>
        <v>0.04287800345</v>
      </c>
    </row>
    <row r="640">
      <c r="A640" s="1" t="s">
        <v>4</v>
      </c>
      <c r="B640" s="3">
        <f>IFERROR(__xludf.DUMMYFUNCTION("""COMPUTED_VALUE"""),45905.66666666667)</f>
        <v>45905.66667</v>
      </c>
      <c r="C640" s="2">
        <f>IFERROR(__xludf.DUMMYFUNCTION("""COMPUTED_VALUE"""),232.33)</f>
        <v>232.33</v>
      </c>
      <c r="D640" s="2">
        <f t="shared" si="3"/>
        <v>-0.01421418873</v>
      </c>
    </row>
    <row r="641">
      <c r="A641" s="1" t="s">
        <v>4</v>
      </c>
      <c r="B641" s="3">
        <f>IFERROR(__xludf.DUMMYFUNCTION("""COMPUTED_VALUE"""),45908.66666666667)</f>
        <v>45908.66667</v>
      </c>
      <c r="C641" s="2">
        <f>IFERROR(__xludf.DUMMYFUNCTION("""COMPUTED_VALUE"""),235.84)</f>
        <v>235.84</v>
      </c>
      <c r="D641" s="2">
        <f t="shared" si="3"/>
        <v>0.01510782077</v>
      </c>
    </row>
    <row r="642">
      <c r="A642" s="1" t="s">
        <v>4</v>
      </c>
      <c r="B642" s="3">
        <f>IFERROR(__xludf.DUMMYFUNCTION("""COMPUTED_VALUE"""),45909.66666666667)</f>
        <v>45909.66667</v>
      </c>
      <c r="C642" s="2">
        <f>IFERROR(__xludf.DUMMYFUNCTION("""COMPUTED_VALUE"""),238.24)</f>
        <v>238.24</v>
      </c>
      <c r="D642" s="2">
        <f t="shared" si="3"/>
        <v>0.01017639077</v>
      </c>
    </row>
    <row r="643">
      <c r="A643" s="1" t="s">
        <v>4</v>
      </c>
      <c r="B643" s="3">
        <f>IFERROR(__xludf.DUMMYFUNCTION("""COMPUTED_VALUE"""),45910.66666666667)</f>
        <v>45910.66667</v>
      </c>
      <c r="C643" s="2">
        <f>IFERROR(__xludf.DUMMYFUNCTION("""COMPUTED_VALUE"""),230.33)</f>
        <v>230.33</v>
      </c>
      <c r="D643" s="2">
        <f t="shared" si="3"/>
        <v>-0.0332018133</v>
      </c>
    </row>
    <row r="644">
      <c r="A644" s="1" t="s">
        <v>4</v>
      </c>
      <c r="B644" s="3">
        <f>IFERROR(__xludf.DUMMYFUNCTION("""COMPUTED_VALUE"""),45911.66666666667)</f>
        <v>45911.66667</v>
      </c>
      <c r="C644" s="2">
        <f>IFERROR(__xludf.DUMMYFUNCTION("""COMPUTED_VALUE"""),229.95)</f>
        <v>229.95</v>
      </c>
      <c r="D644" s="2">
        <f t="shared" si="3"/>
        <v>-0.001649806799</v>
      </c>
    </row>
    <row r="645">
      <c r="A645" s="1" t="s">
        <v>4</v>
      </c>
      <c r="B645" s="3">
        <f>IFERROR(__xludf.DUMMYFUNCTION("""COMPUTED_VALUE"""),45912.66666666667)</f>
        <v>45912.66667</v>
      </c>
      <c r="C645" s="2">
        <f>IFERROR(__xludf.DUMMYFUNCTION("""COMPUTED_VALUE"""),228.15)</f>
        <v>228.15</v>
      </c>
      <c r="D645" s="2">
        <f t="shared" si="3"/>
        <v>-0.00782778865</v>
      </c>
    </row>
    <row r="646">
      <c r="A646" s="1" t="s">
        <v>4</v>
      </c>
      <c r="B646" s="3">
        <f>IFERROR(__xludf.DUMMYFUNCTION("""COMPUTED_VALUE"""),45915.66666666667)</f>
        <v>45915.66667</v>
      </c>
      <c r="C646" s="2">
        <f>IFERROR(__xludf.DUMMYFUNCTION("""COMPUTED_VALUE"""),231.43)</f>
        <v>231.43</v>
      </c>
      <c r="D646" s="2">
        <f t="shared" si="3"/>
        <v>0.01437650668</v>
      </c>
    </row>
    <row r="647">
      <c r="A647" s="1" t="s">
        <v>4</v>
      </c>
      <c r="B647" s="3">
        <f>IFERROR(__xludf.DUMMYFUNCTION("""COMPUTED_VALUE"""),45916.66666666667)</f>
        <v>45916.66667</v>
      </c>
      <c r="C647" s="2">
        <f>IFERROR(__xludf.DUMMYFUNCTION("""COMPUTED_VALUE"""),234.05)</f>
        <v>234.05</v>
      </c>
      <c r="D647" s="2">
        <f t="shared" si="3"/>
        <v>0.01132091777</v>
      </c>
    </row>
    <row r="648">
      <c r="A648" s="1" t="s">
        <v>4</v>
      </c>
      <c r="B648" s="3">
        <f>IFERROR(__xludf.DUMMYFUNCTION("""COMPUTED_VALUE"""),45917.66666666667)</f>
        <v>45917.66667</v>
      </c>
      <c r="C648" s="2">
        <f>IFERROR(__xludf.DUMMYFUNCTION("""COMPUTED_VALUE"""),231.62)</f>
        <v>231.62</v>
      </c>
      <c r="D648" s="2">
        <f t="shared" si="3"/>
        <v>-0.01038239692</v>
      </c>
    </row>
    <row r="649">
      <c r="A649" s="1" t="s">
        <v>4</v>
      </c>
      <c r="B649" s="3">
        <f>IFERROR(__xludf.DUMMYFUNCTION("""COMPUTED_VALUE"""),45918.66666666667)</f>
        <v>45918.66667</v>
      </c>
      <c r="C649" s="2">
        <f>IFERROR(__xludf.DUMMYFUNCTION("""COMPUTED_VALUE"""),231.23)</f>
        <v>231.23</v>
      </c>
      <c r="D649" s="2">
        <f t="shared" si="3"/>
        <v>-0.001683792419</v>
      </c>
    </row>
    <row r="650">
      <c r="A650" s="1" t="s">
        <v>4</v>
      </c>
      <c r="B650" s="3">
        <f>IFERROR(__xludf.DUMMYFUNCTION("""COMPUTED_VALUE"""),45919.66666666667)</f>
        <v>45919.66667</v>
      </c>
      <c r="C650" s="2">
        <f>IFERROR(__xludf.DUMMYFUNCTION("""COMPUTED_VALUE"""),231.48)</f>
        <v>231.48</v>
      </c>
      <c r="D650" s="2">
        <f t="shared" si="3"/>
        <v>0.001081174588</v>
      </c>
    </row>
    <row r="651">
      <c r="A651" s="1" t="s">
        <v>4</v>
      </c>
      <c r="B651" s="3">
        <f>IFERROR(__xludf.DUMMYFUNCTION("""COMPUTED_VALUE"""),45922.66666666667)</f>
        <v>45922.66667</v>
      </c>
      <c r="C651" s="2">
        <f>IFERROR(__xludf.DUMMYFUNCTION("""COMPUTED_VALUE"""),227.63)</f>
        <v>227.63</v>
      </c>
      <c r="D651" s="2">
        <f t="shared" si="3"/>
        <v>-0.01663210645</v>
      </c>
    </row>
    <row r="652">
      <c r="A652" s="1" t="s">
        <v>4</v>
      </c>
      <c r="B652" s="3">
        <f>IFERROR(__xludf.DUMMYFUNCTION("""COMPUTED_VALUE"""),45923.66666666667)</f>
        <v>45923.66667</v>
      </c>
      <c r="C652" s="2">
        <f>IFERROR(__xludf.DUMMYFUNCTION("""COMPUTED_VALUE"""),220.71)</f>
        <v>220.71</v>
      </c>
      <c r="D652" s="2">
        <f t="shared" si="3"/>
        <v>-0.03040021087</v>
      </c>
    </row>
    <row r="653">
      <c r="A653" s="1" t="s">
        <v>4</v>
      </c>
      <c r="B653" s="3">
        <f>IFERROR(__xludf.DUMMYFUNCTION("""COMPUTED_VALUE"""),45924.66666666667)</f>
        <v>45924.66667</v>
      </c>
      <c r="C653" s="2">
        <f>IFERROR(__xludf.DUMMYFUNCTION("""COMPUTED_VALUE"""),220.21)</f>
        <v>220.21</v>
      </c>
      <c r="D653" s="2">
        <f t="shared" si="3"/>
        <v>-0.002265416157</v>
      </c>
    </row>
    <row r="654">
      <c r="A654" s="1" t="s">
        <v>4</v>
      </c>
      <c r="B654" s="3">
        <f>IFERROR(__xludf.DUMMYFUNCTION("""COMPUTED_VALUE"""),45925.66666666667)</f>
        <v>45925.66667</v>
      </c>
      <c r="C654" s="2">
        <f>IFERROR(__xludf.DUMMYFUNCTION("""COMPUTED_VALUE"""),218.15)</f>
        <v>218.15</v>
      </c>
      <c r="D654" s="2">
        <f t="shared" si="3"/>
        <v>-0.009354706871</v>
      </c>
    </row>
    <row r="655">
      <c r="A655" s="1" t="s">
        <v>4</v>
      </c>
      <c r="B655" s="3">
        <f>IFERROR(__xludf.DUMMYFUNCTION("""COMPUTED_VALUE"""),45926.66666666667)</f>
        <v>45926.66667</v>
      </c>
      <c r="C655" s="2">
        <f>IFERROR(__xludf.DUMMYFUNCTION("""COMPUTED_VALUE"""),219.78)</f>
        <v>219.78</v>
      </c>
      <c r="D655" s="2">
        <f t="shared" si="3"/>
        <v>0.007471922989</v>
      </c>
    </row>
    <row r="656">
      <c r="A656" s="1" t="s">
        <v>4</v>
      </c>
      <c r="B656" s="3">
        <f>IFERROR(__xludf.DUMMYFUNCTION("""COMPUTED_VALUE"""),45929.66666666667)</f>
        <v>45929.66667</v>
      </c>
      <c r="C656" s="2">
        <f>IFERROR(__xludf.DUMMYFUNCTION("""COMPUTED_VALUE"""),222.17)</f>
        <v>222.17</v>
      </c>
      <c r="D656" s="2">
        <f t="shared" si="3"/>
        <v>0.01087451087</v>
      </c>
    </row>
    <row r="657">
      <c r="A657" s="1" t="s">
        <v>4</v>
      </c>
      <c r="B657" s="3">
        <f>IFERROR(__xludf.DUMMYFUNCTION("""COMPUTED_VALUE"""),45930.66666666667)</f>
        <v>45930.66667</v>
      </c>
      <c r="C657" s="2">
        <f>IFERROR(__xludf.DUMMYFUNCTION("""COMPUTED_VALUE"""),219.57)</f>
        <v>219.57</v>
      </c>
      <c r="D657" s="2">
        <f t="shared" si="3"/>
        <v>-0.01170275015</v>
      </c>
    </row>
    <row r="658">
      <c r="A658" s="1" t="s">
        <v>4</v>
      </c>
      <c r="B658" s="3">
        <f>IFERROR(__xludf.DUMMYFUNCTION("""COMPUTED_VALUE"""),45931.66666666667)</f>
        <v>45931.66667</v>
      </c>
      <c r="C658" s="2">
        <f>IFERROR(__xludf.DUMMYFUNCTION("""COMPUTED_VALUE"""),220.63)</f>
        <v>220.63</v>
      </c>
      <c r="D658" s="2">
        <f t="shared" si="3"/>
        <v>0.004827617616</v>
      </c>
    </row>
    <row r="659">
      <c r="A659" s="1" t="s">
        <v>4</v>
      </c>
      <c r="B659" s="3">
        <f>IFERROR(__xludf.DUMMYFUNCTION("""COMPUTED_VALUE"""),45932.66666666667)</f>
        <v>45932.66667</v>
      </c>
      <c r="C659" s="2">
        <f>IFERROR(__xludf.DUMMYFUNCTION("""COMPUTED_VALUE"""),222.41)</f>
        <v>222.41</v>
      </c>
      <c r="D659" s="2">
        <f t="shared" si="3"/>
        <v>0.008067805829</v>
      </c>
    </row>
    <row r="660">
      <c r="A660" s="1" t="s">
        <v>4</v>
      </c>
      <c r="B660" s="3">
        <f>IFERROR(__xludf.DUMMYFUNCTION("""COMPUTED_VALUE"""),45933.66666666667)</f>
        <v>45933.66667</v>
      </c>
      <c r="C660" s="2">
        <f>IFERROR(__xludf.DUMMYFUNCTION("""COMPUTED_VALUE"""),219.51)</f>
        <v>219.51</v>
      </c>
      <c r="D660" s="2">
        <f t="shared" si="3"/>
        <v>-0.01303898206</v>
      </c>
    </row>
    <row r="661">
      <c r="A661" s="1" t="s">
        <v>4</v>
      </c>
      <c r="B661" s="3">
        <f>IFERROR(__xludf.DUMMYFUNCTION("""COMPUTED_VALUE"""),45936.66666666667)</f>
        <v>45936.66667</v>
      </c>
      <c r="C661" s="2">
        <f>IFERROR(__xludf.DUMMYFUNCTION("""COMPUTED_VALUE"""),220.9)</f>
        <v>220.9</v>
      </c>
      <c r="D661" s="2">
        <f t="shared" si="3"/>
        <v>0.006332285545</v>
      </c>
    </row>
    <row r="662">
      <c r="A662" s="1" t="s">
        <v>4</v>
      </c>
      <c r="B662" s="3">
        <f>IFERROR(__xludf.DUMMYFUNCTION("""COMPUTED_VALUE"""),45937.66666666667)</f>
        <v>45937.66667</v>
      </c>
      <c r="C662" s="2">
        <f>IFERROR(__xludf.DUMMYFUNCTION("""COMPUTED_VALUE"""),221.78)</f>
        <v>221.78</v>
      </c>
      <c r="D662" s="2">
        <f t="shared" si="3"/>
        <v>0.003983703033</v>
      </c>
    </row>
    <row r="663">
      <c r="A663" s="1" t="s">
        <v>4</v>
      </c>
      <c r="B663" s="3">
        <f>IFERROR(__xludf.DUMMYFUNCTION("""COMPUTED_VALUE"""),45938.66666666667)</f>
        <v>45938.66667</v>
      </c>
      <c r="C663" s="2">
        <f>IFERROR(__xludf.DUMMYFUNCTION("""COMPUTED_VALUE"""),225.22)</f>
        <v>225.22</v>
      </c>
      <c r="D663" s="2">
        <f t="shared" si="3"/>
        <v>0.01551086662</v>
      </c>
    </row>
    <row r="664">
      <c r="A664" s="1" t="s">
        <v>4</v>
      </c>
      <c r="B664" s="3">
        <f>IFERROR(__xludf.DUMMYFUNCTION("""COMPUTED_VALUE"""),45939.66666666667)</f>
        <v>45939.66667</v>
      </c>
      <c r="C664" s="2">
        <f>IFERROR(__xludf.DUMMYFUNCTION("""COMPUTED_VALUE"""),227.74)</f>
        <v>227.74</v>
      </c>
      <c r="D664" s="2">
        <f t="shared" si="3"/>
        <v>0.01118905959</v>
      </c>
    </row>
    <row r="665">
      <c r="A665" s="1" t="s">
        <v>4</v>
      </c>
      <c r="B665" s="3">
        <f>IFERROR(__xludf.DUMMYFUNCTION("""COMPUTED_VALUE"""),45940.66666666667)</f>
        <v>45940.66667</v>
      </c>
      <c r="C665" s="2">
        <f>IFERROR(__xludf.DUMMYFUNCTION("""COMPUTED_VALUE"""),216.37)</f>
        <v>216.37</v>
      </c>
      <c r="D665" s="2">
        <f t="shared" si="3"/>
        <v>-0.04992535347</v>
      </c>
    </row>
    <row r="666">
      <c r="A666" s="1" t="s">
        <v>4</v>
      </c>
      <c r="B666" s="3">
        <f>IFERROR(__xludf.DUMMYFUNCTION("""COMPUTED_VALUE"""),45943.66666666667)</f>
        <v>45943.66667</v>
      </c>
      <c r="C666" s="2">
        <f>IFERROR(__xludf.DUMMYFUNCTION("""COMPUTED_VALUE"""),220.07)</f>
        <v>220.07</v>
      </c>
      <c r="D666" s="2">
        <f t="shared" si="3"/>
        <v>0.01710033739</v>
      </c>
    </row>
    <row r="667">
      <c r="A667" s="1" t="s">
        <v>4</v>
      </c>
      <c r="B667" s="3">
        <f>IFERROR(__xludf.DUMMYFUNCTION("""COMPUTED_VALUE"""),45944.66666666667)</f>
        <v>45944.66667</v>
      </c>
      <c r="C667" s="2">
        <f>IFERROR(__xludf.DUMMYFUNCTION("""COMPUTED_VALUE"""),216.39)</f>
        <v>216.39</v>
      </c>
      <c r="D667" s="2">
        <f t="shared" si="3"/>
        <v>-0.01672195211</v>
      </c>
    </row>
    <row r="668">
      <c r="A668" s="1" t="s">
        <v>4</v>
      </c>
      <c r="B668" s="3">
        <f>IFERROR(__xludf.DUMMYFUNCTION("""COMPUTED_VALUE"""),45945.66666666667)</f>
        <v>45945.66667</v>
      </c>
      <c r="C668" s="2">
        <f>IFERROR(__xludf.DUMMYFUNCTION("""COMPUTED_VALUE"""),215.57)</f>
        <v>215.57</v>
      </c>
      <c r="D668" s="2">
        <f t="shared" si="3"/>
        <v>-0.003789454226</v>
      </c>
    </row>
    <row r="669">
      <c r="A669" s="1" t="s">
        <v>4</v>
      </c>
      <c r="B669" s="3">
        <f>IFERROR(__xludf.DUMMYFUNCTION("""COMPUTED_VALUE"""),45946.66666666667)</f>
        <v>45946.66667</v>
      </c>
      <c r="C669" s="2">
        <f>IFERROR(__xludf.DUMMYFUNCTION("""COMPUTED_VALUE"""),214.47)</f>
        <v>214.47</v>
      </c>
      <c r="D669" s="2">
        <f t="shared" si="3"/>
        <v>-0.005102750847</v>
      </c>
    </row>
    <row r="670">
      <c r="A670" s="1" t="s">
        <v>4</v>
      </c>
      <c r="B670" s="3">
        <f>IFERROR(__xludf.DUMMYFUNCTION("""COMPUTED_VALUE"""),45947.66666666667)</f>
        <v>45947.66667</v>
      </c>
      <c r="C670" s="2">
        <f>IFERROR(__xludf.DUMMYFUNCTION("""COMPUTED_VALUE"""),213.04)</f>
        <v>213.04</v>
      </c>
      <c r="D670" s="2">
        <f t="shared" si="3"/>
        <v>-0.006667599198</v>
      </c>
    </row>
    <row r="671">
      <c r="A671" s="1" t="s">
        <v>4</v>
      </c>
      <c r="B671" s="3">
        <f>IFERROR(__xludf.DUMMYFUNCTION("""COMPUTED_VALUE"""),45950.66666666667)</f>
        <v>45950.66667</v>
      </c>
      <c r="C671" s="2">
        <f>IFERROR(__xludf.DUMMYFUNCTION("""COMPUTED_VALUE"""),216.48)</f>
        <v>216.48</v>
      </c>
      <c r="D671" s="2">
        <f t="shared" si="3"/>
        <v>0.0161472024</v>
      </c>
    </row>
    <row r="672">
      <c r="A672" s="1" t="s">
        <v>4</v>
      </c>
      <c r="B672" s="3">
        <f>IFERROR(__xludf.DUMMYFUNCTION("""COMPUTED_VALUE"""),45951.66666666667)</f>
        <v>45951.66667</v>
      </c>
      <c r="C672" s="2">
        <f>IFERROR(__xludf.DUMMYFUNCTION("""COMPUTED_VALUE"""),222.03)</f>
        <v>222.03</v>
      </c>
      <c r="D672" s="2">
        <f t="shared" si="3"/>
        <v>0.02563747228</v>
      </c>
    </row>
    <row r="673">
      <c r="A673" s="1" t="s">
        <v>4</v>
      </c>
      <c r="B673" s="3">
        <f>IFERROR(__xludf.DUMMYFUNCTION("""COMPUTED_VALUE"""),45952.66666666667)</f>
        <v>45952.66667</v>
      </c>
      <c r="C673" s="2">
        <f>IFERROR(__xludf.DUMMYFUNCTION("""COMPUTED_VALUE"""),217.95)</f>
        <v>217.95</v>
      </c>
      <c r="D673" s="2">
        <f t="shared" si="3"/>
        <v>-0.01837589515</v>
      </c>
    </row>
    <row r="674">
      <c r="A674" s="1" t="s">
        <v>4</v>
      </c>
      <c r="B674" s="3">
        <f>IFERROR(__xludf.DUMMYFUNCTION("""COMPUTED_VALUE"""),45953.66666666667)</f>
        <v>45953.66667</v>
      </c>
      <c r="C674" s="2">
        <f>IFERROR(__xludf.DUMMYFUNCTION("""COMPUTED_VALUE"""),221.09)</f>
        <v>221.09</v>
      </c>
      <c r="D674" s="2">
        <f t="shared" si="3"/>
        <v>0.01440697408</v>
      </c>
    </row>
    <row r="675">
      <c r="A675" s="1" t="s">
        <v>4</v>
      </c>
      <c r="B675" s="3">
        <f>IFERROR(__xludf.DUMMYFUNCTION("""COMPUTED_VALUE"""),45954.66666666667)</f>
        <v>45954.66667</v>
      </c>
      <c r="C675" s="2">
        <f>IFERROR(__xludf.DUMMYFUNCTION("""COMPUTED_VALUE"""),224.21)</f>
        <v>224.21</v>
      </c>
      <c r="D675" s="2">
        <f t="shared" si="3"/>
        <v>0.01411190013</v>
      </c>
    </row>
    <row r="676">
      <c r="A676" s="1" t="s">
        <v>4</v>
      </c>
      <c r="B676" s="3">
        <f>IFERROR(__xludf.DUMMYFUNCTION("""COMPUTED_VALUE"""),45957.66666666667)</f>
        <v>45957.66667</v>
      </c>
      <c r="C676" s="2">
        <f>IFERROR(__xludf.DUMMYFUNCTION("""COMPUTED_VALUE"""),226.97)</f>
        <v>226.97</v>
      </c>
      <c r="D676" s="2">
        <f t="shared" si="3"/>
        <v>0.01230988805</v>
      </c>
    </row>
    <row r="677">
      <c r="A677" s="1" t="s">
        <v>4</v>
      </c>
      <c r="B677" s="3">
        <f>IFERROR(__xludf.DUMMYFUNCTION("""COMPUTED_VALUE"""),45958.66666666667)</f>
        <v>45958.66667</v>
      </c>
      <c r="C677" s="2">
        <f>IFERROR(__xludf.DUMMYFUNCTION("""COMPUTED_VALUE"""),229.25)</f>
        <v>229.25</v>
      </c>
      <c r="D677" s="2">
        <f t="shared" si="3"/>
        <v>0.01004538045</v>
      </c>
    </row>
    <row r="678">
      <c r="A678" s="1" t="s">
        <v>4</v>
      </c>
      <c r="B678" s="3">
        <f>IFERROR(__xludf.DUMMYFUNCTION("""COMPUTED_VALUE"""),45959.66666666667)</f>
        <v>45959.66667</v>
      </c>
      <c r="C678" s="2">
        <f>IFERROR(__xludf.DUMMYFUNCTION("""COMPUTED_VALUE"""),230.3)</f>
        <v>230.3</v>
      </c>
      <c r="D678" s="2">
        <f t="shared" si="3"/>
        <v>0.004580152672</v>
      </c>
    </row>
    <row r="679">
      <c r="A679" s="1" t="s">
        <v>4</v>
      </c>
      <c r="B679" s="3">
        <f>IFERROR(__xludf.DUMMYFUNCTION("""COMPUTED_VALUE"""),45960.66666666667)</f>
        <v>45960.66667</v>
      </c>
      <c r="C679" s="2">
        <f>IFERROR(__xludf.DUMMYFUNCTION("""COMPUTED_VALUE"""),222.86)</f>
        <v>222.86</v>
      </c>
      <c r="D679" s="2">
        <f t="shared" si="3"/>
        <v>-0.03230568823</v>
      </c>
    </row>
    <row r="680">
      <c r="A680" s="1" t="s">
        <v>4</v>
      </c>
      <c r="B680" s="3">
        <f>IFERROR(__xludf.DUMMYFUNCTION("""COMPUTED_VALUE"""),45961.66666666667)</f>
        <v>45961.66667</v>
      </c>
      <c r="C680" s="2">
        <f>IFERROR(__xludf.DUMMYFUNCTION("""COMPUTED_VALUE"""),244.22)</f>
        <v>244.22</v>
      </c>
      <c r="D680" s="2">
        <f t="shared" si="3"/>
        <v>0.09584492507</v>
      </c>
    </row>
    <row r="681">
      <c r="A681" s="1" t="s">
        <v>4</v>
      </c>
      <c r="B681" s="3">
        <f>IFERROR(__xludf.DUMMYFUNCTION("""COMPUTED_VALUE"""),45964.66666666667)</f>
        <v>45964.66667</v>
      </c>
      <c r="C681" s="2">
        <f>IFERROR(__xludf.DUMMYFUNCTION("""COMPUTED_VALUE"""),254.0)</f>
        <v>254</v>
      </c>
      <c r="D681" s="2">
        <f t="shared" si="3"/>
        <v>0.04004586029</v>
      </c>
    </row>
    <row r="682">
      <c r="A682" s="1" t="s">
        <v>4</v>
      </c>
      <c r="B682" s="3">
        <f>IFERROR(__xludf.DUMMYFUNCTION("""COMPUTED_VALUE"""),45965.66666666667)</f>
        <v>45965.66667</v>
      </c>
      <c r="C682" s="2">
        <f>IFERROR(__xludf.DUMMYFUNCTION("""COMPUTED_VALUE"""),249.32)</f>
        <v>249.32</v>
      </c>
      <c r="D682" s="2">
        <f t="shared" si="3"/>
        <v>-0.01842519685</v>
      </c>
    </row>
    <row r="683">
      <c r="A683" s="1" t="s">
        <v>4</v>
      </c>
      <c r="B683" s="3">
        <f>IFERROR(__xludf.DUMMYFUNCTION("""COMPUTED_VALUE"""),45966.66666666667)</f>
        <v>45966.66667</v>
      </c>
      <c r="C683" s="2">
        <f>IFERROR(__xludf.DUMMYFUNCTION("""COMPUTED_VALUE"""),250.2)</f>
        <v>250.2</v>
      </c>
      <c r="D683" s="2">
        <f t="shared" si="3"/>
        <v>0.003529600513</v>
      </c>
    </row>
    <row r="684">
      <c r="A684" s="1" t="s">
        <v>4</v>
      </c>
      <c r="B684" s="3">
        <f>IFERROR(__xludf.DUMMYFUNCTION("""COMPUTED_VALUE"""),45967.66666666667)</f>
        <v>45967.66667</v>
      </c>
      <c r="C684" s="2">
        <f>IFERROR(__xludf.DUMMYFUNCTION("""COMPUTED_VALUE"""),243.04)</f>
        <v>243.04</v>
      </c>
      <c r="D684" s="2">
        <f t="shared" si="3"/>
        <v>-0.02861710631</v>
      </c>
    </row>
    <row r="685">
      <c r="A685" s="1" t="s">
        <v>4</v>
      </c>
      <c r="B685" s="3">
        <f>IFERROR(__xludf.DUMMYFUNCTION("""COMPUTED_VALUE"""),45968.66666666667)</f>
        <v>45968.66667</v>
      </c>
      <c r="C685" s="2">
        <f>IFERROR(__xludf.DUMMYFUNCTION("""COMPUTED_VALUE"""),244.41)</f>
        <v>244.41</v>
      </c>
      <c r="D685" s="2">
        <f t="shared" si="3"/>
        <v>0.005636932192</v>
      </c>
    </row>
    <row r="686">
      <c r="A686" s="1" t="s">
        <v>4</v>
      </c>
      <c r="B686" s="3">
        <f>IFERROR(__xludf.DUMMYFUNCTION("""COMPUTED_VALUE"""),45971.66666666667)</f>
        <v>45971.66667</v>
      </c>
      <c r="C686" s="2">
        <f>IFERROR(__xludf.DUMMYFUNCTION("""COMPUTED_VALUE"""),248.4)</f>
        <v>248.4</v>
      </c>
      <c r="D686" s="2">
        <f t="shared" si="3"/>
        <v>0.01632502762</v>
      </c>
    </row>
    <row r="687">
      <c r="A687" s="1" t="s">
        <v>4</v>
      </c>
      <c r="B687" s="3">
        <f>IFERROR(__xludf.DUMMYFUNCTION("""COMPUTED_VALUE"""),45972.66666666667)</f>
        <v>45972.66667</v>
      </c>
      <c r="C687" s="2">
        <f>IFERROR(__xludf.DUMMYFUNCTION("""COMPUTED_VALUE"""),249.1)</f>
        <v>249.1</v>
      </c>
      <c r="D687" s="2">
        <f t="shared" si="3"/>
        <v>0.002818035427</v>
      </c>
    </row>
    <row r="688">
      <c r="A688" s="1" t="s">
        <v>4</v>
      </c>
      <c r="B688" s="3">
        <f>IFERROR(__xludf.DUMMYFUNCTION("""COMPUTED_VALUE"""),45973.66666666667)</f>
        <v>45973.66667</v>
      </c>
      <c r="C688" s="2">
        <f>IFERROR(__xludf.DUMMYFUNCTION("""COMPUTED_VALUE"""),244.2)</f>
        <v>244.2</v>
      </c>
      <c r="D688" s="2">
        <f t="shared" si="3"/>
        <v>-0.01967081493</v>
      </c>
    </row>
    <row r="689">
      <c r="A689" s="1" t="s">
        <v>4</v>
      </c>
      <c r="B689" s="3">
        <f>IFERROR(__xludf.DUMMYFUNCTION("""COMPUTED_VALUE"""),45974.66666666667)</f>
        <v>45974.66667</v>
      </c>
      <c r="C689" s="2">
        <f>IFERROR(__xludf.DUMMYFUNCTION("""COMPUTED_VALUE"""),237.58)</f>
        <v>237.58</v>
      </c>
      <c r="D689" s="2">
        <f t="shared" si="3"/>
        <v>-0.02710892711</v>
      </c>
    </row>
    <row r="690">
      <c r="A690" s="1" t="s">
        <v>4</v>
      </c>
      <c r="B690" s="3">
        <f>IFERROR(__xludf.DUMMYFUNCTION("""COMPUTED_VALUE"""),45975.66666666667)</f>
        <v>45975.66667</v>
      </c>
      <c r="C690" s="2">
        <f>IFERROR(__xludf.DUMMYFUNCTION("""COMPUTED_VALUE"""),234.69)</f>
        <v>234.69</v>
      </c>
      <c r="D690" s="2">
        <f t="shared" si="3"/>
        <v>-0.0121643236</v>
      </c>
    </row>
    <row r="691">
      <c r="A691" s="1" t="s">
        <v>4</v>
      </c>
      <c r="B691" s="3">
        <f>IFERROR(__xludf.DUMMYFUNCTION("""COMPUTED_VALUE"""),45978.66666666667)</f>
        <v>45978.66667</v>
      </c>
      <c r="C691" s="2">
        <f>IFERROR(__xludf.DUMMYFUNCTION("""COMPUTED_VALUE"""),232.87)</f>
        <v>232.87</v>
      </c>
      <c r="D691" s="2">
        <f t="shared" si="3"/>
        <v>-0.007754910733</v>
      </c>
    </row>
    <row r="692">
      <c r="A692" s="1" t="s">
        <v>4</v>
      </c>
      <c r="B692" s="3">
        <f>IFERROR(__xludf.DUMMYFUNCTION("""COMPUTED_VALUE"""),45979.66666666667)</f>
        <v>45979.66667</v>
      </c>
      <c r="C692" s="2">
        <f>IFERROR(__xludf.DUMMYFUNCTION("""COMPUTED_VALUE"""),222.55)</f>
        <v>222.55</v>
      </c>
      <c r="D692" s="2">
        <f t="shared" si="3"/>
        <v>-0.04431657148</v>
      </c>
    </row>
    <row r="693">
      <c r="A693" s="1" t="s">
        <v>4</v>
      </c>
      <c r="B693" s="3">
        <f>IFERROR(__xludf.DUMMYFUNCTION("""COMPUTED_VALUE"""),45980.66666666667)</f>
        <v>45980.66667</v>
      </c>
      <c r="C693" s="2">
        <f>IFERROR(__xludf.DUMMYFUNCTION("""COMPUTED_VALUE"""),222.69)</f>
        <v>222.69</v>
      </c>
      <c r="D693" s="2">
        <f t="shared" si="3"/>
        <v>0.0006290721186</v>
      </c>
    </row>
    <row r="694">
      <c r="A694" s="1" t="s">
        <v>4</v>
      </c>
      <c r="B694" s="3">
        <f>IFERROR(__xludf.DUMMYFUNCTION("""COMPUTED_VALUE"""),45981.66666666667)</f>
        <v>45981.66667</v>
      </c>
      <c r="C694" s="2">
        <f>IFERROR(__xludf.DUMMYFUNCTION("""COMPUTED_VALUE"""),217.14)</f>
        <v>217.14</v>
      </c>
      <c r="D694" s="2">
        <f t="shared" si="3"/>
        <v>-0.02492253806</v>
      </c>
    </row>
    <row r="695">
      <c r="A695" s="1" t="s">
        <v>4</v>
      </c>
      <c r="B695" s="3">
        <f>IFERROR(__xludf.DUMMYFUNCTION("""COMPUTED_VALUE"""),45982.66666666667)</f>
        <v>45982.66667</v>
      </c>
      <c r="C695" s="2">
        <f>IFERROR(__xludf.DUMMYFUNCTION("""COMPUTED_VALUE"""),220.69)</f>
        <v>220.69</v>
      </c>
      <c r="D695" s="2">
        <f t="shared" si="3"/>
        <v>0.01634889933</v>
      </c>
    </row>
    <row r="696">
      <c r="A696" s="1" t="s">
        <v>4</v>
      </c>
      <c r="B696" s="3">
        <f>IFERROR(__xludf.DUMMYFUNCTION("""COMPUTED_VALUE"""),45985.66666666667)</f>
        <v>45985.66667</v>
      </c>
      <c r="C696" s="2">
        <f>IFERROR(__xludf.DUMMYFUNCTION("""COMPUTED_VALUE"""),226.28)</f>
        <v>226.28</v>
      </c>
      <c r="D696" s="2">
        <f t="shared" si="3"/>
        <v>0.02532964792</v>
      </c>
    </row>
    <row r="697">
      <c r="A697" s="1" t="s">
        <v>4</v>
      </c>
      <c r="B697" s="3">
        <f>IFERROR(__xludf.DUMMYFUNCTION("""COMPUTED_VALUE"""),45986.66666666667)</f>
        <v>45986.66667</v>
      </c>
      <c r="C697" s="2">
        <f>IFERROR(__xludf.DUMMYFUNCTION("""COMPUTED_VALUE"""),229.67)</f>
        <v>229.67</v>
      </c>
      <c r="D697" s="2">
        <f t="shared" si="3"/>
        <v>0.01498143893</v>
      </c>
    </row>
    <row r="698">
      <c r="A698" s="1" t="s">
        <v>4</v>
      </c>
      <c r="B698" s="3">
        <f>IFERROR(__xludf.DUMMYFUNCTION("""COMPUTED_VALUE"""),45987.66666666667)</f>
        <v>45987.66667</v>
      </c>
      <c r="C698" s="2">
        <f>IFERROR(__xludf.DUMMYFUNCTION("""COMPUTED_VALUE"""),229.16)</f>
        <v>229.16</v>
      </c>
      <c r="D698" s="2">
        <f t="shared" si="3"/>
        <v>-0.00222057735</v>
      </c>
    </row>
    <row r="699">
      <c r="A699" s="1" t="s">
        <v>4</v>
      </c>
      <c r="B699" s="3">
        <f>IFERROR(__xludf.DUMMYFUNCTION("""COMPUTED_VALUE"""),45989.54513888889)</f>
        <v>45989.54514</v>
      </c>
      <c r="C699" s="2">
        <f>IFERROR(__xludf.DUMMYFUNCTION("""COMPUTED_VALUE"""),233.22)</f>
        <v>233.22</v>
      </c>
      <c r="D699" s="2">
        <f t="shared" si="3"/>
        <v>0.01771687904</v>
      </c>
    </row>
    <row r="700">
      <c r="A700" s="1" t="s">
        <v>4</v>
      </c>
      <c r="B700" s="3">
        <f>IFERROR(__xludf.DUMMYFUNCTION("""COMPUTED_VALUE"""),45992.66666666667)</f>
        <v>45992.66667</v>
      </c>
      <c r="C700" s="2">
        <f>IFERROR(__xludf.DUMMYFUNCTION("""COMPUTED_VALUE"""),233.88)</f>
        <v>233.88</v>
      </c>
      <c r="D700" s="2">
        <f t="shared" si="3"/>
        <v>0.002829945974</v>
      </c>
    </row>
    <row r="701">
      <c r="A701" s="1" t="s">
        <v>4</v>
      </c>
      <c r="B701" s="3">
        <f>IFERROR(__xludf.DUMMYFUNCTION("""COMPUTED_VALUE"""),45993.66666666667)</f>
        <v>45993.66667</v>
      </c>
      <c r="C701" s="2">
        <f>IFERROR(__xludf.DUMMYFUNCTION("""COMPUTED_VALUE"""),234.42)</f>
        <v>234.42</v>
      </c>
      <c r="D701" s="2">
        <f t="shared" si="3"/>
        <v>0.002308876347</v>
      </c>
    </row>
    <row r="702">
      <c r="A702" s="1" t="s">
        <v>4</v>
      </c>
      <c r="B702" s="3">
        <f>IFERROR(__xludf.DUMMYFUNCTION("""COMPUTED_VALUE"""),45994.66666666667)</f>
        <v>45994.66667</v>
      </c>
      <c r="C702" s="2">
        <f>IFERROR(__xludf.DUMMYFUNCTION("""COMPUTED_VALUE"""),232.38)</f>
        <v>232.38</v>
      </c>
      <c r="D702" s="2">
        <f t="shared" si="3"/>
        <v>-0.008702329153</v>
      </c>
    </row>
    <row r="703">
      <c r="A703" s="1" t="s">
        <v>4</v>
      </c>
      <c r="B703" s="3">
        <f>IFERROR(__xludf.DUMMYFUNCTION("""COMPUTED_VALUE"""),45995.66666666667)</f>
        <v>45995.66667</v>
      </c>
      <c r="C703" s="2">
        <f>IFERROR(__xludf.DUMMYFUNCTION("""COMPUTED_VALUE"""),229.11)</f>
        <v>229.11</v>
      </c>
      <c r="D703" s="2">
        <f t="shared" si="3"/>
        <v>-0.01407177898</v>
      </c>
    </row>
    <row r="704">
      <c r="A704" s="1" t="s">
        <v>4</v>
      </c>
      <c r="B704" s="3">
        <f>IFERROR(__xludf.DUMMYFUNCTION("""COMPUTED_VALUE"""),45996.66666666667)</f>
        <v>45996.66667</v>
      </c>
      <c r="C704" s="2">
        <f>IFERROR(__xludf.DUMMYFUNCTION("""COMPUTED_VALUE"""),229.53)</f>
        <v>229.53</v>
      </c>
      <c r="D704" s="2">
        <f t="shared" si="3"/>
        <v>0.001833180568</v>
      </c>
    </row>
    <row r="705">
      <c r="A705" s="1" t="s">
        <v>4</v>
      </c>
      <c r="B705" s="3">
        <f>IFERROR(__xludf.DUMMYFUNCTION("""COMPUTED_VALUE"""),45999.66666666667)</f>
        <v>45999.66667</v>
      </c>
      <c r="C705" s="2">
        <f>IFERROR(__xludf.DUMMYFUNCTION("""COMPUTED_VALUE"""),226.89)</f>
        <v>226.89</v>
      </c>
      <c r="D705" s="2">
        <f t="shared" si="3"/>
        <v>-0.01150176448</v>
      </c>
    </row>
    <row r="706">
      <c r="A706" s="1" t="s">
        <v>4</v>
      </c>
      <c r="B706" s="3">
        <f>IFERROR(__xludf.DUMMYFUNCTION("""COMPUTED_VALUE"""),46000.66666666667)</f>
        <v>46000.66667</v>
      </c>
      <c r="C706" s="2">
        <f>IFERROR(__xludf.DUMMYFUNCTION("""COMPUTED_VALUE"""),227.92)</f>
        <v>227.92</v>
      </c>
      <c r="D706" s="2">
        <f t="shared" si="3"/>
        <v>0.004539644762</v>
      </c>
    </row>
    <row r="707">
      <c r="A707" s="1" t="s">
        <v>4</v>
      </c>
      <c r="B707" s="3">
        <f>IFERROR(__xludf.DUMMYFUNCTION("""COMPUTED_VALUE"""),46001.66666666667)</f>
        <v>46001.66667</v>
      </c>
      <c r="C707" s="2">
        <f>IFERROR(__xludf.DUMMYFUNCTION("""COMPUTED_VALUE"""),231.78)</f>
        <v>231.78</v>
      </c>
      <c r="D707" s="2">
        <f t="shared" si="3"/>
        <v>0.01693576694</v>
      </c>
    </row>
    <row r="708">
      <c r="A708" s="1" t="s">
        <v>4</v>
      </c>
      <c r="B708" s="3">
        <f>IFERROR(__xludf.DUMMYFUNCTION("""COMPUTED_VALUE"""),46002.66666666667)</f>
        <v>46002.66667</v>
      </c>
      <c r="C708" s="2">
        <f>IFERROR(__xludf.DUMMYFUNCTION("""COMPUTED_VALUE"""),230.28)</f>
        <v>230.28</v>
      </c>
      <c r="D708" s="2">
        <f t="shared" si="3"/>
        <v>-0.006471654155</v>
      </c>
    </row>
    <row r="709">
      <c r="A709" s="1" t="s">
        <v>4</v>
      </c>
      <c r="B709" s="3">
        <f>IFERROR(__xludf.DUMMYFUNCTION("""COMPUTED_VALUE"""),46003.66666666667)</f>
        <v>46003.66667</v>
      </c>
      <c r="C709" s="2">
        <f>IFERROR(__xludf.DUMMYFUNCTION("""COMPUTED_VALUE"""),226.19)</f>
        <v>226.19</v>
      </c>
      <c r="D709" s="2">
        <f t="shared" si="3"/>
        <v>-0.01776098662</v>
      </c>
    </row>
    <row r="710">
      <c r="A710" s="1" t="s">
        <v>4</v>
      </c>
      <c r="B710" s="3">
        <f>IFERROR(__xludf.DUMMYFUNCTION("""COMPUTED_VALUE"""),46006.66666666667)</f>
        <v>46006.66667</v>
      </c>
      <c r="C710" s="2">
        <f>IFERROR(__xludf.DUMMYFUNCTION("""COMPUTED_VALUE"""),222.54)</f>
        <v>222.54</v>
      </c>
      <c r="D710" s="2">
        <f t="shared" si="3"/>
        <v>-0.01613687608</v>
      </c>
    </row>
    <row r="711">
      <c r="A711" s="1" t="s">
        <v>4</v>
      </c>
      <c r="B711" s="3">
        <f>IFERROR(__xludf.DUMMYFUNCTION("""COMPUTED_VALUE"""),46007.66666666667)</f>
        <v>46007.66667</v>
      </c>
      <c r="C711" s="2">
        <f>IFERROR(__xludf.DUMMYFUNCTION("""COMPUTED_VALUE"""),222.56)</f>
        <v>222.56</v>
      </c>
      <c r="D711" s="2">
        <f t="shared" si="3"/>
        <v>0.00008987148378</v>
      </c>
    </row>
    <row r="712">
      <c r="A712" s="1" t="s">
        <v>4</v>
      </c>
      <c r="B712" s="3">
        <f>IFERROR(__xludf.DUMMYFUNCTION("""COMPUTED_VALUE"""),46008.66666666667)</f>
        <v>46008.66667</v>
      </c>
      <c r="C712" s="2">
        <f>IFERROR(__xludf.DUMMYFUNCTION("""COMPUTED_VALUE"""),221.27)</f>
        <v>221.27</v>
      </c>
      <c r="D712" s="2">
        <f t="shared" si="3"/>
        <v>-0.005796189792</v>
      </c>
    </row>
    <row r="713">
      <c r="A713" s="1" t="s">
        <v>4</v>
      </c>
      <c r="B713" s="3">
        <f>IFERROR(__xludf.DUMMYFUNCTION("""COMPUTED_VALUE"""),46009.66666666667)</f>
        <v>46009.66667</v>
      </c>
      <c r="C713" s="2">
        <f>IFERROR(__xludf.DUMMYFUNCTION("""COMPUTED_VALUE"""),226.76)</f>
        <v>226.76</v>
      </c>
      <c r="D713" s="2">
        <f t="shared" si="3"/>
        <v>0.02481131649</v>
      </c>
    </row>
    <row r="714">
      <c r="A714" s="1" t="s">
        <v>4</v>
      </c>
      <c r="B714" s="3">
        <f>IFERROR(__xludf.DUMMYFUNCTION("""COMPUTED_VALUE"""),46010.66666666667)</f>
        <v>46010.66667</v>
      </c>
      <c r="C714" s="2">
        <f>IFERROR(__xludf.DUMMYFUNCTION("""COMPUTED_VALUE"""),227.35)</f>
        <v>227.35</v>
      </c>
      <c r="D714" s="2">
        <f t="shared" si="3"/>
        <v>0.002601869818</v>
      </c>
    </row>
    <row r="715">
      <c r="A715" s="1" t="s">
        <v>4</v>
      </c>
      <c r="B715" s="3">
        <f>IFERROR(__xludf.DUMMYFUNCTION("""COMPUTED_VALUE"""),46013.66666666667)</f>
        <v>46013.66667</v>
      </c>
      <c r="C715" s="2">
        <f>IFERROR(__xludf.DUMMYFUNCTION("""COMPUTED_VALUE"""),228.43)</f>
        <v>228.43</v>
      </c>
      <c r="D715" s="2">
        <f t="shared" si="3"/>
        <v>0.004750384869</v>
      </c>
    </row>
    <row r="716">
      <c r="A716" s="1" t="s">
        <v>4</v>
      </c>
      <c r="B716" s="3">
        <f>IFERROR(__xludf.DUMMYFUNCTION("""COMPUTED_VALUE"""),46014.66666666667)</f>
        <v>46014.66667</v>
      </c>
      <c r="C716" s="2">
        <f>IFERROR(__xludf.DUMMYFUNCTION("""COMPUTED_VALUE"""),232.14)</f>
        <v>232.14</v>
      </c>
      <c r="D716" s="2">
        <f t="shared" si="3"/>
        <v>0.0162412993</v>
      </c>
    </row>
    <row r="717">
      <c r="A717" s="1" t="s">
        <v>4</v>
      </c>
      <c r="B717" s="3">
        <f>IFERROR(__xludf.DUMMYFUNCTION("""COMPUTED_VALUE"""),46015.54513888889)</f>
        <v>46015.54514</v>
      </c>
      <c r="C717" s="2">
        <f>IFERROR(__xludf.DUMMYFUNCTION("""COMPUTED_VALUE"""),232.38)</f>
        <v>232.38</v>
      </c>
      <c r="D717" s="2">
        <f t="shared" si="3"/>
        <v>0.001033858878</v>
      </c>
    </row>
    <row r="718">
      <c r="A718" s="1" t="s">
        <v>4</v>
      </c>
      <c r="B718" s="3">
        <f>IFERROR(__xludf.DUMMYFUNCTION("""COMPUTED_VALUE"""),46017.66666666667)</f>
        <v>46017.66667</v>
      </c>
      <c r="C718" s="2">
        <f>IFERROR(__xludf.DUMMYFUNCTION("""COMPUTED_VALUE"""),232.52)</f>
        <v>232.52</v>
      </c>
      <c r="D718" s="2">
        <f t="shared" si="3"/>
        <v>0.0006024614855</v>
      </c>
    </row>
    <row r="719">
      <c r="A719" s="1" t="s">
        <v>4</v>
      </c>
      <c r="B719" s="3">
        <f>IFERROR(__xludf.DUMMYFUNCTION("""COMPUTED_VALUE"""),46020.66666666667)</f>
        <v>46020.66667</v>
      </c>
      <c r="C719" s="2">
        <f>IFERROR(__xludf.DUMMYFUNCTION("""COMPUTED_VALUE"""),232.07)</f>
        <v>232.07</v>
      </c>
      <c r="D719" s="2">
        <f t="shared" si="3"/>
        <v>-0.001935317392</v>
      </c>
    </row>
    <row r="720">
      <c r="A720" s="1" t="s">
        <v>4</v>
      </c>
      <c r="B720" s="3">
        <f>IFERROR(__xludf.DUMMYFUNCTION("""COMPUTED_VALUE"""),46021.66666666667)</f>
        <v>46021.66667</v>
      </c>
      <c r="C720" s="2">
        <f>IFERROR(__xludf.DUMMYFUNCTION("""COMPUTED_VALUE"""),232.53)</f>
        <v>232.53</v>
      </c>
      <c r="D720" s="2">
        <f t="shared" si="3"/>
        <v>0.001982160555</v>
      </c>
    </row>
    <row r="721">
      <c r="A721" s="1" t="s">
        <v>4</v>
      </c>
      <c r="B721" s="3">
        <f>IFERROR(__xludf.DUMMYFUNCTION("""COMPUTED_VALUE"""),46022.66666666667)</f>
        <v>46022.66667</v>
      </c>
      <c r="C721" s="2">
        <f>IFERROR(__xludf.DUMMYFUNCTION("""COMPUTED_VALUE"""),230.82)</f>
        <v>230.82</v>
      </c>
      <c r="D721" s="2">
        <f t="shared" si="3"/>
        <v>-0.007353889821</v>
      </c>
    </row>
    <row r="722">
      <c r="A722" s="1" t="s">
        <v>4</v>
      </c>
      <c r="B722" s="3">
        <f>IFERROR(__xludf.DUMMYFUNCTION("""COMPUTED_VALUE"""),46024.66666666667)</f>
        <v>46024.66667</v>
      </c>
      <c r="C722" s="2">
        <f>IFERROR(__xludf.DUMMYFUNCTION("""COMPUTED_VALUE"""),226.5)</f>
        <v>226.5</v>
      </c>
      <c r="D722" s="2">
        <f t="shared" si="3"/>
        <v>-0.01871588251</v>
      </c>
    </row>
    <row r="723">
      <c r="A723" s="1" t="s">
        <v>4</v>
      </c>
      <c r="B723" s="3">
        <f>IFERROR(__xludf.DUMMYFUNCTION("""COMPUTED_VALUE"""),46027.66666666667)</f>
        <v>46027.66667</v>
      </c>
      <c r="C723" s="2">
        <f>IFERROR(__xludf.DUMMYFUNCTION("""COMPUTED_VALUE"""),233.06)</f>
        <v>233.06</v>
      </c>
      <c r="D723" s="2">
        <f t="shared" si="3"/>
        <v>0.02896247241</v>
      </c>
    </row>
    <row r="724">
      <c r="A724" s="1" t="s">
        <v>4</v>
      </c>
      <c r="B724" s="3">
        <f>IFERROR(__xludf.DUMMYFUNCTION("""COMPUTED_VALUE"""),46028.66666666667)</f>
        <v>46028.66667</v>
      </c>
      <c r="C724" s="2">
        <f>IFERROR(__xludf.DUMMYFUNCTION("""COMPUTED_VALUE"""),240.93)</f>
        <v>240.93</v>
      </c>
      <c r="D724" s="2">
        <f t="shared" si="3"/>
        <v>0.03376812838</v>
      </c>
    </row>
    <row r="725">
      <c r="A725" s="1" t="s">
        <v>4</v>
      </c>
      <c r="B725" s="3">
        <f>IFERROR(__xludf.DUMMYFUNCTION("""COMPUTED_VALUE"""),46029.66666666667)</f>
        <v>46029.66667</v>
      </c>
      <c r="C725" s="2">
        <f>IFERROR(__xludf.DUMMYFUNCTION("""COMPUTED_VALUE"""),241.56)</f>
        <v>241.56</v>
      </c>
      <c r="D725" s="2">
        <f t="shared" si="3"/>
        <v>0.002614867389</v>
      </c>
    </row>
    <row r="726">
      <c r="A726" s="1" t="s">
        <v>4</v>
      </c>
      <c r="B726" s="3">
        <f>IFERROR(__xludf.DUMMYFUNCTION("""COMPUTED_VALUE"""),46030.66666666667)</f>
        <v>46030.66667</v>
      </c>
      <c r="C726" s="2">
        <f>IFERROR(__xludf.DUMMYFUNCTION("""COMPUTED_VALUE"""),246.29)</f>
        <v>246.29</v>
      </c>
      <c r="D726" s="2">
        <f t="shared" si="3"/>
        <v>0.01958105647</v>
      </c>
    </row>
    <row r="727">
      <c r="A727" s="1" t="s">
        <v>4</v>
      </c>
      <c r="B727" s="3">
        <f>IFERROR(__xludf.DUMMYFUNCTION("""COMPUTED_VALUE"""),46031.66666666667)</f>
        <v>46031.66667</v>
      </c>
      <c r="C727" s="2">
        <f>IFERROR(__xludf.DUMMYFUNCTION("""COMPUTED_VALUE"""),247.38)</f>
        <v>247.38</v>
      </c>
      <c r="D727" s="2">
        <f t="shared" si="3"/>
        <v>0.004425677047</v>
      </c>
    </row>
    <row r="728">
      <c r="A728" s="1" t="s">
        <v>4</v>
      </c>
      <c r="B728" s="3">
        <f>IFERROR(__xludf.DUMMYFUNCTION("""COMPUTED_VALUE"""),46034.66666666667)</f>
        <v>46034.66667</v>
      </c>
      <c r="C728" s="2">
        <f>IFERROR(__xludf.DUMMYFUNCTION("""COMPUTED_VALUE"""),246.47)</f>
        <v>246.47</v>
      </c>
      <c r="D728" s="2">
        <f t="shared" si="3"/>
        <v>-0.003678551217</v>
      </c>
    </row>
    <row r="729">
      <c r="A729" s="1" t="s">
        <v>4</v>
      </c>
      <c r="B729" s="3">
        <f>IFERROR(__xludf.DUMMYFUNCTION("""COMPUTED_VALUE"""),46035.66666666667)</f>
        <v>46035.66667</v>
      </c>
      <c r="C729" s="2">
        <f>IFERROR(__xludf.DUMMYFUNCTION("""COMPUTED_VALUE"""),242.6)</f>
        <v>242.6</v>
      </c>
      <c r="D729" s="2">
        <f t="shared" si="3"/>
        <v>-0.01570170812</v>
      </c>
    </row>
    <row r="730">
      <c r="A730" s="1" t="s">
        <v>4</v>
      </c>
      <c r="B730" s="3">
        <f>IFERROR(__xludf.DUMMYFUNCTION("""COMPUTED_VALUE"""),46036.66666666667)</f>
        <v>46036.66667</v>
      </c>
      <c r="C730" s="2">
        <f>IFERROR(__xludf.DUMMYFUNCTION("""COMPUTED_VALUE"""),236.65)</f>
        <v>236.65</v>
      </c>
      <c r="D730" s="2">
        <f t="shared" si="3"/>
        <v>-0.02452596867</v>
      </c>
    </row>
    <row r="731">
      <c r="A731" s="1" t="s">
        <v>4</v>
      </c>
      <c r="B731" s="3">
        <f>IFERROR(__xludf.DUMMYFUNCTION("""COMPUTED_VALUE"""),46037.66666666667)</f>
        <v>46037.66667</v>
      </c>
      <c r="C731" s="2">
        <f>IFERROR(__xludf.DUMMYFUNCTION("""COMPUTED_VALUE"""),238.18)</f>
        <v>238.18</v>
      </c>
      <c r="D731" s="2">
        <f t="shared" si="3"/>
        <v>0.006465244031</v>
      </c>
    </row>
    <row r="732">
      <c r="A732" s="1" t="s">
        <v>4</v>
      </c>
      <c r="B732" s="3">
        <f>IFERROR(__xludf.DUMMYFUNCTION("""COMPUTED_VALUE"""),46038.66666666667)</f>
        <v>46038.66667</v>
      </c>
      <c r="C732" s="2">
        <f>IFERROR(__xludf.DUMMYFUNCTION("""COMPUTED_VALUE"""),239.12)</f>
        <v>239.12</v>
      </c>
      <c r="D732" s="2">
        <f t="shared" si="3"/>
        <v>0.003946595012</v>
      </c>
    </row>
    <row r="733">
      <c r="A733" s="1" t="s">
        <v>4</v>
      </c>
      <c r="B733" s="3">
        <f>IFERROR(__xludf.DUMMYFUNCTION("""COMPUTED_VALUE"""),46042.66666666667)</f>
        <v>46042.66667</v>
      </c>
      <c r="C733" s="2">
        <f>IFERROR(__xludf.DUMMYFUNCTION("""COMPUTED_VALUE"""),231.0)</f>
        <v>231</v>
      </c>
      <c r="D733" s="2">
        <f t="shared" si="3"/>
        <v>-0.03395784543</v>
      </c>
    </row>
    <row r="734">
      <c r="A734" s="1" t="s">
        <v>4</v>
      </c>
      <c r="B734" s="3">
        <f>IFERROR(__xludf.DUMMYFUNCTION("""COMPUTED_VALUE"""),46043.66666666667)</f>
        <v>46043.66667</v>
      </c>
      <c r="C734" s="2">
        <f>IFERROR(__xludf.DUMMYFUNCTION("""COMPUTED_VALUE"""),231.31)</f>
        <v>231.31</v>
      </c>
      <c r="D734" s="2">
        <f t="shared" si="3"/>
        <v>0.001341991342</v>
      </c>
    </row>
    <row r="735">
      <c r="A735" s="1" t="s">
        <v>4</v>
      </c>
      <c r="B735" s="3">
        <f>IFERROR(__xludf.DUMMYFUNCTION("""COMPUTED_VALUE"""),46044.66666666667)</f>
        <v>46044.66667</v>
      </c>
      <c r="C735" s="2">
        <f>IFERROR(__xludf.DUMMYFUNCTION("""COMPUTED_VALUE"""),234.34)</f>
        <v>234.34</v>
      </c>
      <c r="D735" s="2">
        <f t="shared" si="3"/>
        <v>0.01309930396</v>
      </c>
    </row>
    <row r="736">
      <c r="A736" s="1" t="s">
        <v>4</v>
      </c>
      <c r="B736" s="3">
        <f>IFERROR(__xludf.DUMMYFUNCTION("""COMPUTED_VALUE"""),46045.66666666667)</f>
        <v>46045.66667</v>
      </c>
      <c r="C736" s="2">
        <f>IFERROR(__xludf.DUMMYFUNCTION("""COMPUTED_VALUE"""),239.16)</f>
        <v>239.16</v>
      </c>
      <c r="D736" s="2">
        <f t="shared" si="3"/>
        <v>0.02056840488</v>
      </c>
    </row>
    <row r="737">
      <c r="A737" s="1" t="s">
        <v>4</v>
      </c>
      <c r="B737" s="3">
        <f>IFERROR(__xludf.DUMMYFUNCTION("""COMPUTED_VALUE"""),46048.66666666667)</f>
        <v>46048.66667</v>
      </c>
      <c r="C737" s="2">
        <f>IFERROR(__xludf.DUMMYFUNCTION("""COMPUTED_VALUE"""),238.42)</f>
        <v>238.42</v>
      </c>
      <c r="D737" s="2">
        <f t="shared" si="3"/>
        <v>-0.003094162903</v>
      </c>
    </row>
    <row r="738">
      <c r="A738" s="1" t="s">
        <v>4</v>
      </c>
      <c r="B738" s="3">
        <f>IFERROR(__xludf.DUMMYFUNCTION("""COMPUTED_VALUE"""),46049.66666666667)</f>
        <v>46049.66667</v>
      </c>
      <c r="C738" s="2">
        <f>IFERROR(__xludf.DUMMYFUNCTION("""COMPUTED_VALUE"""),244.68)</f>
        <v>244.68</v>
      </c>
      <c r="D738" s="2">
        <f t="shared" si="3"/>
        <v>0.02625618656</v>
      </c>
    </row>
    <row r="739">
      <c r="A739" s="1" t="s">
        <v>4</v>
      </c>
      <c r="B739" s="3">
        <f>IFERROR(__xludf.DUMMYFUNCTION("""COMPUTED_VALUE"""),46050.66666666667)</f>
        <v>46050.66667</v>
      </c>
      <c r="C739" s="2">
        <f>IFERROR(__xludf.DUMMYFUNCTION("""COMPUTED_VALUE"""),243.01)</f>
        <v>243.01</v>
      </c>
      <c r="D739" s="2">
        <f t="shared" si="3"/>
        <v>-0.006825241131</v>
      </c>
    </row>
    <row r="740">
      <c r="A740" s="1" t="s">
        <v>4</v>
      </c>
      <c r="B740" s="3">
        <f>IFERROR(__xludf.DUMMYFUNCTION("""COMPUTED_VALUE"""),46051.66666666667)</f>
        <v>46051.66667</v>
      </c>
      <c r="C740" s="2">
        <f>IFERROR(__xludf.DUMMYFUNCTION("""COMPUTED_VALUE"""),241.73)</f>
        <v>241.73</v>
      </c>
      <c r="D740" s="2">
        <f t="shared" si="3"/>
        <v>-0.005267272952</v>
      </c>
    </row>
    <row r="741">
      <c r="A741" s="1" t="s">
        <v>4</v>
      </c>
      <c r="B741" s="3">
        <f>IFERROR(__xludf.DUMMYFUNCTION("""COMPUTED_VALUE"""),46052.66666666667)</f>
        <v>46052.66667</v>
      </c>
      <c r="C741" s="2">
        <f>IFERROR(__xludf.DUMMYFUNCTION("""COMPUTED_VALUE"""),239.3)</f>
        <v>239.3</v>
      </c>
      <c r="D741" s="2">
        <f t="shared" si="3"/>
        <v>-0.01005253796</v>
      </c>
    </row>
    <row r="742">
      <c r="A742" s="1" t="s">
        <v>4</v>
      </c>
      <c r="B742" s="3">
        <f>IFERROR(__xludf.DUMMYFUNCTION("""COMPUTED_VALUE"""),46055.66666666667)</f>
        <v>46055.66667</v>
      </c>
      <c r="C742" s="2">
        <f>IFERROR(__xludf.DUMMYFUNCTION("""COMPUTED_VALUE"""),242.96)</f>
        <v>242.96</v>
      </c>
      <c r="D742" s="2">
        <f t="shared" si="3"/>
        <v>0.01529460928</v>
      </c>
    </row>
    <row r="743">
      <c r="A743" s="1" t="s">
        <v>4</v>
      </c>
      <c r="B743" s="3">
        <f>IFERROR(__xludf.DUMMYFUNCTION("""COMPUTED_VALUE"""),46056.66666666667)</f>
        <v>46056.66667</v>
      </c>
      <c r="C743" s="2">
        <f>IFERROR(__xludf.DUMMYFUNCTION("""COMPUTED_VALUE"""),238.62)</f>
        <v>238.62</v>
      </c>
      <c r="D743" s="2">
        <f t="shared" si="3"/>
        <v>-0.01786302272</v>
      </c>
    </row>
    <row r="744">
      <c r="A744" s="1" t="s">
        <v>4</v>
      </c>
      <c r="B744" s="3">
        <f>IFERROR(__xludf.DUMMYFUNCTION("""COMPUTED_VALUE"""),46057.66666666667)</f>
        <v>46057.66667</v>
      </c>
      <c r="C744" s="2">
        <f>IFERROR(__xludf.DUMMYFUNCTION("""COMPUTED_VALUE"""),232.99)</f>
        <v>232.99</v>
      </c>
      <c r="D744" s="2">
        <f t="shared" si="3"/>
        <v>-0.02359399883</v>
      </c>
    </row>
    <row r="745">
      <c r="A745" s="1" t="s">
        <v>4</v>
      </c>
      <c r="B745" s="3">
        <f>IFERROR(__xludf.DUMMYFUNCTION("""COMPUTED_VALUE"""),46058.66666666667)</f>
        <v>46058.66667</v>
      </c>
      <c r="C745" s="2">
        <f>IFERROR(__xludf.DUMMYFUNCTION("""COMPUTED_VALUE"""),222.69)</f>
        <v>222.69</v>
      </c>
      <c r="D745" s="2">
        <f t="shared" si="3"/>
        <v>-0.04420790592</v>
      </c>
    </row>
    <row r="746">
      <c r="A746" s="1" t="s">
        <v>4</v>
      </c>
      <c r="B746" s="3">
        <f>IFERROR(__xludf.DUMMYFUNCTION("""COMPUTED_VALUE"""),46059.66666666667)</f>
        <v>46059.66667</v>
      </c>
      <c r="C746" s="2">
        <f>IFERROR(__xludf.DUMMYFUNCTION("""COMPUTED_VALUE"""),210.32)</f>
        <v>210.32</v>
      </c>
      <c r="D746" s="2">
        <f t="shared" si="3"/>
        <v>-0.05554807131</v>
      </c>
    </row>
    <row r="747">
      <c r="A747" s="1" t="s">
        <v>4</v>
      </c>
      <c r="B747" s="3">
        <f>IFERROR(__xludf.DUMMYFUNCTION("""COMPUTED_VALUE"""),46062.66666666667)</f>
        <v>46062.66667</v>
      </c>
      <c r="C747" s="2">
        <f>IFERROR(__xludf.DUMMYFUNCTION("""COMPUTED_VALUE"""),208.72)</f>
        <v>208.72</v>
      </c>
      <c r="D747" s="2">
        <f t="shared" si="3"/>
        <v>-0.007607455306</v>
      </c>
    </row>
    <row r="748">
      <c r="A748" s="1" t="s">
        <v>4</v>
      </c>
      <c r="B748" s="3">
        <f>IFERROR(__xludf.DUMMYFUNCTION("""COMPUTED_VALUE"""),46063.66666666667)</f>
        <v>46063.66667</v>
      </c>
      <c r="C748" s="2">
        <f>IFERROR(__xludf.DUMMYFUNCTION("""COMPUTED_VALUE"""),206.96)</f>
        <v>206.96</v>
      </c>
      <c r="D748" s="2">
        <f t="shared" si="3"/>
        <v>-0.008432349559</v>
      </c>
    </row>
    <row r="749">
      <c r="A749" s="1" t="s">
        <v>4</v>
      </c>
      <c r="B749" s="3">
        <f>IFERROR(__xludf.DUMMYFUNCTION("""COMPUTED_VALUE"""),46064.66666666667)</f>
        <v>46064.66667</v>
      </c>
      <c r="C749" s="2">
        <f>IFERROR(__xludf.DUMMYFUNCTION("""COMPUTED_VALUE"""),204.08)</f>
        <v>204.08</v>
      </c>
      <c r="D749" s="2">
        <f t="shared" si="3"/>
        <v>-0.01391573251</v>
      </c>
    </row>
    <row r="750">
      <c r="A750" s="1" t="s">
        <v>4</v>
      </c>
      <c r="B750" s="3">
        <f>IFERROR(__xludf.DUMMYFUNCTION("""COMPUTED_VALUE"""),46065.66666666667)</f>
        <v>46065.66667</v>
      </c>
      <c r="C750" s="2">
        <f>IFERROR(__xludf.DUMMYFUNCTION("""COMPUTED_VALUE"""),199.6)</f>
        <v>199.6</v>
      </c>
      <c r="D750" s="2">
        <f t="shared" si="3"/>
        <v>-0.02195217562</v>
      </c>
    </row>
    <row r="751">
      <c r="A751" s="1" t="s">
        <v>4</v>
      </c>
      <c r="B751" s="3">
        <f>IFERROR(__xludf.DUMMYFUNCTION("""COMPUTED_VALUE"""),46066.66666666667)</f>
        <v>46066.66667</v>
      </c>
      <c r="C751" s="2">
        <f>IFERROR(__xludf.DUMMYFUNCTION("""COMPUTED_VALUE"""),198.79)</f>
        <v>198.79</v>
      </c>
      <c r="D751" s="2">
        <f t="shared" si="3"/>
        <v>-0.004058116232</v>
      </c>
    </row>
    <row r="752">
      <c r="A752" s="1" t="s">
        <v>4</v>
      </c>
      <c r="B752" s="3">
        <f>IFERROR(__xludf.DUMMYFUNCTION("""COMPUTED_VALUE"""),46070.66666666667)</f>
        <v>46070.66667</v>
      </c>
      <c r="C752" s="2">
        <f>IFERROR(__xludf.DUMMYFUNCTION("""COMPUTED_VALUE"""),201.15)</f>
        <v>201.15</v>
      </c>
      <c r="D752" s="2">
        <f t="shared" si="3"/>
        <v>0.01187182454</v>
      </c>
    </row>
    <row r="753">
      <c r="A753" s="1" t="s">
        <v>4</v>
      </c>
      <c r="B753" s="3">
        <f>IFERROR(__xludf.DUMMYFUNCTION("""COMPUTED_VALUE"""),46071.66666666667)</f>
        <v>46071.66667</v>
      </c>
      <c r="C753" s="2">
        <f>IFERROR(__xludf.DUMMYFUNCTION("""COMPUTED_VALUE"""),204.79)</f>
        <v>204.79</v>
      </c>
      <c r="D753" s="2">
        <f t="shared" si="3"/>
        <v>0.0180959483</v>
      </c>
    </row>
    <row r="754">
      <c r="A754" s="1" t="s">
        <v>4</v>
      </c>
      <c r="B754" s="3">
        <f>IFERROR(__xludf.DUMMYFUNCTION("""COMPUTED_VALUE"""),46072.66666666667)</f>
        <v>46072.66667</v>
      </c>
      <c r="C754" s="2">
        <f>IFERROR(__xludf.DUMMYFUNCTION("""COMPUTED_VALUE"""),204.86)</f>
        <v>204.86</v>
      </c>
      <c r="D754" s="2">
        <f t="shared" si="3"/>
        <v>0.0003418135651</v>
      </c>
    </row>
    <row r="755">
      <c r="A755" s="1" t="s">
        <v>4</v>
      </c>
      <c r="B755" s="3">
        <f>IFERROR(__xludf.DUMMYFUNCTION("""COMPUTED_VALUE"""),46073.66666666667)</f>
        <v>46073.66667</v>
      </c>
      <c r="C755" s="2">
        <f>IFERROR(__xludf.DUMMYFUNCTION("""COMPUTED_VALUE"""),210.11)</f>
        <v>210.11</v>
      </c>
      <c r="D755" s="2">
        <f t="shared" si="3"/>
        <v>0.02562725764</v>
      </c>
    </row>
    <row r="756">
      <c r="A756" s="1" t="s">
        <v>4</v>
      </c>
      <c r="D756" s="2">
        <f t="shared" si="3"/>
        <v>-1</v>
      </c>
    </row>
    <row r="757">
      <c r="A757" s="1" t="s">
        <v>0</v>
      </c>
      <c r="B757" s="2" t="str">
        <f>IFERROR(__xludf.DUMMYFUNCTION("GOOGLEFINANCE(A758, ""price"", EDATE(TODAY(), -12), TODAY()) "),"Date")</f>
        <v>Date</v>
      </c>
      <c r="C757" s="2" t="str">
        <f>IFERROR(__xludf.DUMMYFUNCTION("""COMPUTED_VALUE"""),"Close")</f>
        <v>Close</v>
      </c>
    </row>
    <row r="758">
      <c r="A758" s="1" t="s">
        <v>5</v>
      </c>
      <c r="B758" s="3">
        <f>IFERROR(__xludf.DUMMYFUNCTION("""COMPUTED_VALUE"""),45712.66666666667)</f>
        <v>45712.66667</v>
      </c>
      <c r="C758" s="2">
        <f>IFERROR(__xludf.DUMMYFUNCTION("""COMPUTED_VALUE"""),330.53)</f>
        <v>330.53</v>
      </c>
    </row>
    <row r="759">
      <c r="A759" s="1" t="s">
        <v>5</v>
      </c>
      <c r="B759" s="3">
        <f>IFERROR(__xludf.DUMMYFUNCTION("""COMPUTED_VALUE"""),45713.66666666667)</f>
        <v>45713.66667</v>
      </c>
      <c r="C759" s="2">
        <f>IFERROR(__xludf.DUMMYFUNCTION("""COMPUTED_VALUE"""),302.8)</f>
        <v>302.8</v>
      </c>
      <c r="D759" s="2">
        <f t="shared" ref="D759:D1008" si="4">(C759-C758)/C758</f>
        <v>-0.08389556167</v>
      </c>
    </row>
    <row r="760">
      <c r="A760" s="1" t="s">
        <v>5</v>
      </c>
      <c r="B760" s="3">
        <f>IFERROR(__xludf.DUMMYFUNCTION("""COMPUTED_VALUE"""),45714.66666666667)</f>
        <v>45714.66667</v>
      </c>
      <c r="C760" s="2">
        <f>IFERROR(__xludf.DUMMYFUNCTION("""COMPUTED_VALUE"""),290.8)</f>
        <v>290.8</v>
      </c>
      <c r="D760" s="2">
        <f t="shared" si="4"/>
        <v>-0.03963011889</v>
      </c>
    </row>
    <row r="761">
      <c r="A761" s="1" t="s">
        <v>5</v>
      </c>
      <c r="B761" s="3">
        <f>IFERROR(__xludf.DUMMYFUNCTION("""COMPUTED_VALUE"""),45715.66666666667)</f>
        <v>45715.66667</v>
      </c>
      <c r="C761" s="2">
        <f>IFERROR(__xludf.DUMMYFUNCTION("""COMPUTED_VALUE"""),281.95)</f>
        <v>281.95</v>
      </c>
      <c r="D761" s="2">
        <f t="shared" si="4"/>
        <v>-0.03043328748</v>
      </c>
    </row>
    <row r="762">
      <c r="A762" s="1" t="s">
        <v>5</v>
      </c>
      <c r="B762" s="3">
        <f>IFERROR(__xludf.DUMMYFUNCTION("""COMPUTED_VALUE"""),45716.66666666667)</f>
        <v>45716.66667</v>
      </c>
      <c r="C762" s="2">
        <f>IFERROR(__xludf.DUMMYFUNCTION("""COMPUTED_VALUE"""),292.98)</f>
        <v>292.98</v>
      </c>
      <c r="D762" s="2">
        <f t="shared" si="4"/>
        <v>0.03912041142</v>
      </c>
    </row>
    <row r="763">
      <c r="A763" s="1" t="s">
        <v>5</v>
      </c>
      <c r="B763" s="3">
        <f>IFERROR(__xludf.DUMMYFUNCTION("""COMPUTED_VALUE"""),45719.66666666667)</f>
        <v>45719.66667</v>
      </c>
      <c r="C763" s="2">
        <f>IFERROR(__xludf.DUMMYFUNCTION("""COMPUTED_VALUE"""),284.65)</f>
        <v>284.65</v>
      </c>
      <c r="D763" s="2">
        <f t="shared" si="4"/>
        <v>-0.02843197488</v>
      </c>
    </row>
    <row r="764">
      <c r="A764" s="1" t="s">
        <v>5</v>
      </c>
      <c r="B764" s="3">
        <f>IFERROR(__xludf.DUMMYFUNCTION("""COMPUTED_VALUE"""),45720.66666666667)</f>
        <v>45720.66667</v>
      </c>
      <c r="C764" s="2">
        <f>IFERROR(__xludf.DUMMYFUNCTION("""COMPUTED_VALUE"""),272.04)</f>
        <v>272.04</v>
      </c>
      <c r="D764" s="2">
        <f t="shared" si="4"/>
        <v>-0.04430001757</v>
      </c>
    </row>
    <row r="765">
      <c r="A765" s="1" t="s">
        <v>5</v>
      </c>
      <c r="B765" s="3">
        <f>IFERROR(__xludf.DUMMYFUNCTION("""COMPUTED_VALUE"""),45721.66666666667)</f>
        <v>45721.66667</v>
      </c>
      <c r="C765" s="2">
        <f>IFERROR(__xludf.DUMMYFUNCTION("""COMPUTED_VALUE"""),279.1)</f>
        <v>279.1</v>
      </c>
      <c r="D765" s="2">
        <f t="shared" si="4"/>
        <v>0.02595206587</v>
      </c>
    </row>
    <row r="766">
      <c r="A766" s="1" t="s">
        <v>5</v>
      </c>
      <c r="B766" s="3">
        <f>IFERROR(__xludf.DUMMYFUNCTION("""COMPUTED_VALUE"""),45722.66666666667)</f>
        <v>45722.66667</v>
      </c>
      <c r="C766" s="2">
        <f>IFERROR(__xludf.DUMMYFUNCTION("""COMPUTED_VALUE"""),263.45)</f>
        <v>263.45</v>
      </c>
      <c r="D766" s="2">
        <f t="shared" si="4"/>
        <v>-0.05607309208</v>
      </c>
    </row>
    <row r="767">
      <c r="A767" s="1" t="s">
        <v>5</v>
      </c>
      <c r="B767" s="3">
        <f>IFERROR(__xludf.DUMMYFUNCTION("""COMPUTED_VALUE"""),45723.66666666667)</f>
        <v>45723.66667</v>
      </c>
      <c r="C767" s="2">
        <f>IFERROR(__xludf.DUMMYFUNCTION("""COMPUTED_VALUE"""),262.67)</f>
        <v>262.67</v>
      </c>
      <c r="D767" s="2">
        <f t="shared" si="4"/>
        <v>-0.002960713608</v>
      </c>
    </row>
    <row r="768">
      <c r="A768" s="1" t="s">
        <v>5</v>
      </c>
      <c r="B768" s="3">
        <f>IFERROR(__xludf.DUMMYFUNCTION("""COMPUTED_VALUE"""),45726.66666666667)</f>
        <v>45726.66667</v>
      </c>
      <c r="C768" s="2">
        <f>IFERROR(__xludf.DUMMYFUNCTION("""COMPUTED_VALUE"""),222.15)</f>
        <v>222.15</v>
      </c>
      <c r="D768" s="2">
        <f t="shared" si="4"/>
        <v>-0.1542620018</v>
      </c>
    </row>
    <row r="769">
      <c r="A769" s="1" t="s">
        <v>5</v>
      </c>
      <c r="B769" s="3">
        <f>IFERROR(__xludf.DUMMYFUNCTION("""COMPUTED_VALUE"""),45727.66666666667)</f>
        <v>45727.66667</v>
      </c>
      <c r="C769" s="2">
        <f>IFERROR(__xludf.DUMMYFUNCTION("""COMPUTED_VALUE"""),230.58)</f>
        <v>230.58</v>
      </c>
      <c r="D769" s="2">
        <f t="shared" si="4"/>
        <v>0.03794733288</v>
      </c>
    </row>
    <row r="770">
      <c r="A770" s="1" t="s">
        <v>5</v>
      </c>
      <c r="B770" s="3">
        <f>IFERROR(__xludf.DUMMYFUNCTION("""COMPUTED_VALUE"""),45728.66666666667)</f>
        <v>45728.66667</v>
      </c>
      <c r="C770" s="2">
        <f>IFERROR(__xludf.DUMMYFUNCTION("""COMPUTED_VALUE"""),248.09)</f>
        <v>248.09</v>
      </c>
      <c r="D770" s="2">
        <f t="shared" si="4"/>
        <v>0.07593893659</v>
      </c>
    </row>
    <row r="771">
      <c r="A771" s="1" t="s">
        <v>5</v>
      </c>
      <c r="B771" s="3">
        <f>IFERROR(__xludf.DUMMYFUNCTION("""COMPUTED_VALUE"""),45729.66666666667)</f>
        <v>45729.66667</v>
      </c>
      <c r="C771" s="2">
        <f>IFERROR(__xludf.DUMMYFUNCTION("""COMPUTED_VALUE"""),240.68)</f>
        <v>240.68</v>
      </c>
      <c r="D771" s="2">
        <f t="shared" si="4"/>
        <v>-0.02986819299</v>
      </c>
    </row>
    <row r="772">
      <c r="A772" s="1" t="s">
        <v>5</v>
      </c>
      <c r="B772" s="3">
        <f>IFERROR(__xludf.DUMMYFUNCTION("""COMPUTED_VALUE"""),45730.66666666667)</f>
        <v>45730.66667</v>
      </c>
      <c r="C772" s="2">
        <f>IFERROR(__xludf.DUMMYFUNCTION("""COMPUTED_VALUE"""),249.98)</f>
        <v>249.98</v>
      </c>
      <c r="D772" s="2">
        <f t="shared" si="4"/>
        <v>0.03864051853</v>
      </c>
    </row>
    <row r="773">
      <c r="A773" s="1" t="s">
        <v>5</v>
      </c>
      <c r="B773" s="3">
        <f>IFERROR(__xludf.DUMMYFUNCTION("""COMPUTED_VALUE"""),45733.66666666667)</f>
        <v>45733.66667</v>
      </c>
      <c r="C773" s="2">
        <f>IFERROR(__xludf.DUMMYFUNCTION("""COMPUTED_VALUE"""),238.01)</f>
        <v>238.01</v>
      </c>
      <c r="D773" s="2">
        <f t="shared" si="4"/>
        <v>-0.04788383071</v>
      </c>
    </row>
    <row r="774">
      <c r="A774" s="1" t="s">
        <v>5</v>
      </c>
      <c r="B774" s="3">
        <f>IFERROR(__xludf.DUMMYFUNCTION("""COMPUTED_VALUE"""),45734.66666666667)</f>
        <v>45734.66667</v>
      </c>
      <c r="C774" s="2">
        <f>IFERROR(__xludf.DUMMYFUNCTION("""COMPUTED_VALUE"""),225.31)</f>
        <v>225.31</v>
      </c>
      <c r="D774" s="2">
        <f t="shared" si="4"/>
        <v>-0.05335910256</v>
      </c>
    </row>
    <row r="775">
      <c r="A775" s="1" t="s">
        <v>5</v>
      </c>
      <c r="B775" s="3">
        <f>IFERROR(__xludf.DUMMYFUNCTION("""COMPUTED_VALUE"""),45735.66666666667)</f>
        <v>45735.66667</v>
      </c>
      <c r="C775" s="2">
        <f>IFERROR(__xludf.DUMMYFUNCTION("""COMPUTED_VALUE"""),235.86)</f>
        <v>235.86</v>
      </c>
      <c r="D775" s="2">
        <f t="shared" si="4"/>
        <v>0.04682437531</v>
      </c>
    </row>
    <row r="776">
      <c r="A776" s="1" t="s">
        <v>5</v>
      </c>
      <c r="B776" s="3">
        <f>IFERROR(__xludf.DUMMYFUNCTION("""COMPUTED_VALUE"""),45736.66666666667)</f>
        <v>45736.66667</v>
      </c>
      <c r="C776" s="2">
        <f>IFERROR(__xludf.DUMMYFUNCTION("""COMPUTED_VALUE"""),236.26)</f>
        <v>236.26</v>
      </c>
      <c r="D776" s="2">
        <f t="shared" si="4"/>
        <v>0.001695921309</v>
      </c>
    </row>
    <row r="777">
      <c r="A777" s="1" t="s">
        <v>5</v>
      </c>
      <c r="B777" s="3">
        <f>IFERROR(__xludf.DUMMYFUNCTION("""COMPUTED_VALUE"""),45737.66666666667)</f>
        <v>45737.66667</v>
      </c>
      <c r="C777" s="2">
        <f>IFERROR(__xludf.DUMMYFUNCTION("""COMPUTED_VALUE"""),248.71)</f>
        <v>248.71</v>
      </c>
      <c r="D777" s="2">
        <f t="shared" si="4"/>
        <v>0.05269618217</v>
      </c>
    </row>
    <row r="778">
      <c r="A778" s="1" t="s">
        <v>5</v>
      </c>
      <c r="B778" s="3">
        <f>IFERROR(__xludf.DUMMYFUNCTION("""COMPUTED_VALUE"""),45740.66666666667)</f>
        <v>45740.66667</v>
      </c>
      <c r="C778" s="2">
        <f>IFERROR(__xludf.DUMMYFUNCTION("""COMPUTED_VALUE"""),278.39)</f>
        <v>278.39</v>
      </c>
      <c r="D778" s="2">
        <f t="shared" si="4"/>
        <v>0.1193357726</v>
      </c>
    </row>
    <row r="779">
      <c r="A779" s="1" t="s">
        <v>5</v>
      </c>
      <c r="B779" s="3">
        <f>IFERROR(__xludf.DUMMYFUNCTION("""COMPUTED_VALUE"""),45741.66666666667)</f>
        <v>45741.66667</v>
      </c>
      <c r="C779" s="2">
        <f>IFERROR(__xludf.DUMMYFUNCTION("""COMPUTED_VALUE"""),288.14)</f>
        <v>288.14</v>
      </c>
      <c r="D779" s="2">
        <f t="shared" si="4"/>
        <v>0.03502280973</v>
      </c>
    </row>
    <row r="780">
      <c r="A780" s="1" t="s">
        <v>5</v>
      </c>
      <c r="B780" s="3">
        <f>IFERROR(__xludf.DUMMYFUNCTION("""COMPUTED_VALUE"""),45742.66666666667)</f>
        <v>45742.66667</v>
      </c>
      <c r="C780" s="2">
        <f>IFERROR(__xludf.DUMMYFUNCTION("""COMPUTED_VALUE"""),272.06)</f>
        <v>272.06</v>
      </c>
      <c r="D780" s="2">
        <f t="shared" si="4"/>
        <v>-0.05580620532</v>
      </c>
    </row>
    <row r="781">
      <c r="A781" s="1" t="s">
        <v>5</v>
      </c>
      <c r="B781" s="3">
        <f>IFERROR(__xludf.DUMMYFUNCTION("""COMPUTED_VALUE"""),45743.66666666667)</f>
        <v>45743.66667</v>
      </c>
      <c r="C781" s="2">
        <f>IFERROR(__xludf.DUMMYFUNCTION("""COMPUTED_VALUE"""),273.13)</f>
        <v>273.13</v>
      </c>
      <c r="D781" s="2">
        <f t="shared" si="4"/>
        <v>0.003932955966</v>
      </c>
    </row>
    <row r="782">
      <c r="A782" s="1" t="s">
        <v>5</v>
      </c>
      <c r="B782" s="3">
        <f>IFERROR(__xludf.DUMMYFUNCTION("""COMPUTED_VALUE"""),45744.66666666667)</f>
        <v>45744.66667</v>
      </c>
      <c r="C782" s="2">
        <f>IFERROR(__xludf.DUMMYFUNCTION("""COMPUTED_VALUE"""),263.55)</f>
        <v>263.55</v>
      </c>
      <c r="D782" s="2">
        <f t="shared" si="4"/>
        <v>-0.03507487277</v>
      </c>
    </row>
    <row r="783">
      <c r="A783" s="1" t="s">
        <v>5</v>
      </c>
      <c r="B783" s="3">
        <f>IFERROR(__xludf.DUMMYFUNCTION("""COMPUTED_VALUE"""),45747.66666666667)</f>
        <v>45747.66667</v>
      </c>
      <c r="C783" s="2">
        <f>IFERROR(__xludf.DUMMYFUNCTION("""COMPUTED_VALUE"""),259.16)</f>
        <v>259.16</v>
      </c>
      <c r="D783" s="2">
        <f t="shared" si="4"/>
        <v>-0.0166571808</v>
      </c>
    </row>
    <row r="784">
      <c r="A784" s="1" t="s">
        <v>5</v>
      </c>
      <c r="B784" s="3">
        <f>IFERROR(__xludf.DUMMYFUNCTION("""COMPUTED_VALUE"""),45748.66666666667)</f>
        <v>45748.66667</v>
      </c>
      <c r="C784" s="2">
        <f>IFERROR(__xludf.DUMMYFUNCTION("""COMPUTED_VALUE"""),268.46)</f>
        <v>268.46</v>
      </c>
      <c r="D784" s="2">
        <f t="shared" si="4"/>
        <v>0.03588516746</v>
      </c>
    </row>
    <row r="785">
      <c r="A785" s="1" t="s">
        <v>5</v>
      </c>
      <c r="B785" s="3">
        <f>IFERROR(__xludf.DUMMYFUNCTION("""COMPUTED_VALUE"""),45749.66666666667)</f>
        <v>45749.66667</v>
      </c>
      <c r="C785" s="2">
        <f>IFERROR(__xludf.DUMMYFUNCTION("""COMPUTED_VALUE"""),282.76)</f>
        <v>282.76</v>
      </c>
      <c r="D785" s="2">
        <f t="shared" si="4"/>
        <v>0.0532667809</v>
      </c>
    </row>
    <row r="786">
      <c r="A786" s="1" t="s">
        <v>5</v>
      </c>
      <c r="B786" s="3">
        <f>IFERROR(__xludf.DUMMYFUNCTION("""COMPUTED_VALUE"""),45750.66666666667)</f>
        <v>45750.66667</v>
      </c>
      <c r="C786" s="2">
        <f>IFERROR(__xludf.DUMMYFUNCTION("""COMPUTED_VALUE"""),267.28)</f>
        <v>267.28</v>
      </c>
      <c r="D786" s="2">
        <f t="shared" si="4"/>
        <v>-0.05474607441</v>
      </c>
    </row>
    <row r="787">
      <c r="A787" s="1" t="s">
        <v>5</v>
      </c>
      <c r="B787" s="3">
        <f>IFERROR(__xludf.DUMMYFUNCTION("""COMPUTED_VALUE"""),45751.66666666667)</f>
        <v>45751.66667</v>
      </c>
      <c r="C787" s="2">
        <f>IFERROR(__xludf.DUMMYFUNCTION("""COMPUTED_VALUE"""),239.43)</f>
        <v>239.43</v>
      </c>
      <c r="D787" s="2">
        <f t="shared" si="4"/>
        <v>-0.104197845</v>
      </c>
    </row>
    <row r="788">
      <c r="A788" s="1" t="s">
        <v>5</v>
      </c>
      <c r="B788" s="3">
        <f>IFERROR(__xludf.DUMMYFUNCTION("""COMPUTED_VALUE"""),45754.66666666667)</f>
        <v>45754.66667</v>
      </c>
      <c r="C788" s="2">
        <f>IFERROR(__xludf.DUMMYFUNCTION("""COMPUTED_VALUE"""),233.29)</f>
        <v>233.29</v>
      </c>
      <c r="D788" s="2">
        <f t="shared" si="4"/>
        <v>-0.0256442384</v>
      </c>
    </row>
    <row r="789">
      <c r="A789" s="1" t="s">
        <v>5</v>
      </c>
      <c r="B789" s="3">
        <f>IFERROR(__xludf.DUMMYFUNCTION("""COMPUTED_VALUE"""),45755.66666666667)</f>
        <v>45755.66667</v>
      </c>
      <c r="C789" s="2">
        <f>IFERROR(__xludf.DUMMYFUNCTION("""COMPUTED_VALUE"""),221.86)</f>
        <v>221.86</v>
      </c>
      <c r="D789" s="2">
        <f t="shared" si="4"/>
        <v>-0.04899481332</v>
      </c>
    </row>
    <row r="790">
      <c r="A790" s="1" t="s">
        <v>5</v>
      </c>
      <c r="B790" s="3">
        <f>IFERROR(__xludf.DUMMYFUNCTION("""COMPUTED_VALUE"""),45756.66666666667)</f>
        <v>45756.66667</v>
      </c>
      <c r="C790" s="2">
        <f>IFERROR(__xludf.DUMMYFUNCTION("""COMPUTED_VALUE"""),272.2)</f>
        <v>272.2</v>
      </c>
      <c r="D790" s="2">
        <f t="shared" si="4"/>
        <v>0.2268998468</v>
      </c>
    </row>
    <row r="791">
      <c r="A791" s="1" t="s">
        <v>5</v>
      </c>
      <c r="B791" s="3">
        <f>IFERROR(__xludf.DUMMYFUNCTION("""COMPUTED_VALUE"""),45757.66666666667)</f>
        <v>45757.66667</v>
      </c>
      <c r="C791" s="2">
        <f>IFERROR(__xludf.DUMMYFUNCTION("""COMPUTED_VALUE"""),252.4)</f>
        <v>252.4</v>
      </c>
      <c r="D791" s="2">
        <f t="shared" si="4"/>
        <v>-0.07274063189</v>
      </c>
    </row>
    <row r="792">
      <c r="A792" s="1" t="s">
        <v>5</v>
      </c>
      <c r="B792" s="3">
        <f>IFERROR(__xludf.DUMMYFUNCTION("""COMPUTED_VALUE"""),45758.66666666667)</f>
        <v>45758.66667</v>
      </c>
      <c r="C792" s="2">
        <f>IFERROR(__xludf.DUMMYFUNCTION("""COMPUTED_VALUE"""),252.31)</f>
        <v>252.31</v>
      </c>
      <c r="D792" s="2">
        <f t="shared" si="4"/>
        <v>-0.0003565768621</v>
      </c>
    </row>
    <row r="793">
      <c r="A793" s="1" t="s">
        <v>5</v>
      </c>
      <c r="B793" s="3">
        <f>IFERROR(__xludf.DUMMYFUNCTION("""COMPUTED_VALUE"""),45761.66666666667)</f>
        <v>45761.66667</v>
      </c>
      <c r="C793" s="2">
        <f>IFERROR(__xludf.DUMMYFUNCTION("""COMPUTED_VALUE"""),252.35)</f>
        <v>252.35</v>
      </c>
      <c r="D793" s="2">
        <f t="shared" si="4"/>
        <v>0.0001585351353</v>
      </c>
    </row>
    <row r="794">
      <c r="A794" s="1" t="s">
        <v>5</v>
      </c>
      <c r="B794" s="3">
        <f>IFERROR(__xludf.DUMMYFUNCTION("""COMPUTED_VALUE"""),45762.66666666667)</f>
        <v>45762.66667</v>
      </c>
      <c r="C794" s="2">
        <f>IFERROR(__xludf.DUMMYFUNCTION("""COMPUTED_VALUE"""),254.11)</f>
        <v>254.11</v>
      </c>
      <c r="D794" s="2">
        <f t="shared" si="4"/>
        <v>0.006974440262</v>
      </c>
    </row>
    <row r="795">
      <c r="A795" s="1" t="s">
        <v>5</v>
      </c>
      <c r="B795" s="3">
        <f>IFERROR(__xludf.DUMMYFUNCTION("""COMPUTED_VALUE"""),45763.66666666667)</f>
        <v>45763.66667</v>
      </c>
      <c r="C795" s="2">
        <f>IFERROR(__xludf.DUMMYFUNCTION("""COMPUTED_VALUE"""),241.55)</f>
        <v>241.55</v>
      </c>
      <c r="D795" s="2">
        <f t="shared" si="4"/>
        <v>-0.04942741332</v>
      </c>
    </row>
    <row r="796">
      <c r="A796" s="1" t="s">
        <v>5</v>
      </c>
      <c r="B796" s="3">
        <f>IFERROR(__xludf.DUMMYFUNCTION("""COMPUTED_VALUE"""),45764.66666666667)</f>
        <v>45764.66667</v>
      </c>
      <c r="C796" s="2">
        <f>IFERROR(__xludf.DUMMYFUNCTION("""COMPUTED_VALUE"""),241.37)</f>
        <v>241.37</v>
      </c>
      <c r="D796" s="2">
        <f t="shared" si="4"/>
        <v>-0.0007451873318</v>
      </c>
    </row>
    <row r="797">
      <c r="A797" s="1" t="s">
        <v>5</v>
      </c>
      <c r="B797" s="3">
        <f>IFERROR(__xludf.DUMMYFUNCTION("""COMPUTED_VALUE"""),45768.66666666667)</f>
        <v>45768.66667</v>
      </c>
      <c r="C797" s="2">
        <f>IFERROR(__xludf.DUMMYFUNCTION("""COMPUTED_VALUE"""),227.5)</f>
        <v>227.5</v>
      </c>
      <c r="D797" s="2">
        <f t="shared" si="4"/>
        <v>-0.05746364503</v>
      </c>
    </row>
    <row r="798">
      <c r="A798" s="1" t="s">
        <v>5</v>
      </c>
      <c r="B798" s="3">
        <f>IFERROR(__xludf.DUMMYFUNCTION("""COMPUTED_VALUE"""),45769.66666666667)</f>
        <v>45769.66667</v>
      </c>
      <c r="C798" s="2">
        <f>IFERROR(__xludf.DUMMYFUNCTION("""COMPUTED_VALUE"""),237.97)</f>
        <v>237.97</v>
      </c>
      <c r="D798" s="2">
        <f t="shared" si="4"/>
        <v>0.04602197802</v>
      </c>
    </row>
    <row r="799">
      <c r="A799" s="1" t="s">
        <v>5</v>
      </c>
      <c r="B799" s="3">
        <f>IFERROR(__xludf.DUMMYFUNCTION("""COMPUTED_VALUE"""),45770.66666666667)</f>
        <v>45770.66667</v>
      </c>
      <c r="C799" s="2">
        <f>IFERROR(__xludf.DUMMYFUNCTION("""COMPUTED_VALUE"""),250.74)</f>
        <v>250.74</v>
      </c>
      <c r="D799" s="2">
        <f t="shared" si="4"/>
        <v>0.05366222633</v>
      </c>
    </row>
    <row r="800">
      <c r="A800" s="1" t="s">
        <v>5</v>
      </c>
      <c r="B800" s="3">
        <f>IFERROR(__xludf.DUMMYFUNCTION("""COMPUTED_VALUE"""),45771.66666666667)</f>
        <v>45771.66667</v>
      </c>
      <c r="C800" s="2">
        <f>IFERROR(__xludf.DUMMYFUNCTION("""COMPUTED_VALUE"""),259.51)</f>
        <v>259.51</v>
      </c>
      <c r="D800" s="2">
        <f t="shared" si="4"/>
        <v>0.03497646965</v>
      </c>
    </row>
    <row r="801">
      <c r="A801" s="1" t="s">
        <v>5</v>
      </c>
      <c r="B801" s="3">
        <f>IFERROR(__xludf.DUMMYFUNCTION("""COMPUTED_VALUE"""),45772.66666666667)</f>
        <v>45772.66667</v>
      </c>
      <c r="C801" s="2">
        <f>IFERROR(__xludf.DUMMYFUNCTION("""COMPUTED_VALUE"""),284.95)</f>
        <v>284.95</v>
      </c>
      <c r="D801" s="2">
        <f t="shared" si="4"/>
        <v>0.0980309044</v>
      </c>
    </row>
    <row r="802">
      <c r="A802" s="1" t="s">
        <v>5</v>
      </c>
      <c r="B802" s="3">
        <f>IFERROR(__xludf.DUMMYFUNCTION("""COMPUTED_VALUE"""),45775.66666666667)</f>
        <v>45775.66667</v>
      </c>
      <c r="C802" s="2">
        <f>IFERROR(__xludf.DUMMYFUNCTION("""COMPUTED_VALUE"""),285.88)</f>
        <v>285.88</v>
      </c>
      <c r="D802" s="2">
        <f t="shared" si="4"/>
        <v>0.003263730479</v>
      </c>
    </row>
    <row r="803">
      <c r="A803" s="1" t="s">
        <v>5</v>
      </c>
      <c r="B803" s="3">
        <f>IFERROR(__xludf.DUMMYFUNCTION("""COMPUTED_VALUE"""),45776.66666666667)</f>
        <v>45776.66667</v>
      </c>
      <c r="C803" s="2">
        <f>IFERROR(__xludf.DUMMYFUNCTION("""COMPUTED_VALUE"""),292.03)</f>
        <v>292.03</v>
      </c>
      <c r="D803" s="2">
        <f t="shared" si="4"/>
        <v>0.02151252274</v>
      </c>
    </row>
    <row r="804">
      <c r="A804" s="1" t="s">
        <v>5</v>
      </c>
      <c r="B804" s="3">
        <f>IFERROR(__xludf.DUMMYFUNCTION("""COMPUTED_VALUE"""),45777.66666666667)</f>
        <v>45777.66667</v>
      </c>
      <c r="C804" s="2">
        <f>IFERROR(__xludf.DUMMYFUNCTION("""COMPUTED_VALUE"""),282.16)</f>
        <v>282.16</v>
      </c>
      <c r="D804" s="2">
        <f t="shared" si="4"/>
        <v>-0.03379789748</v>
      </c>
    </row>
    <row r="805">
      <c r="A805" s="1" t="s">
        <v>5</v>
      </c>
      <c r="B805" s="3">
        <f>IFERROR(__xludf.DUMMYFUNCTION("""COMPUTED_VALUE"""),45778.66666666667)</f>
        <v>45778.66667</v>
      </c>
      <c r="C805" s="2">
        <f>IFERROR(__xludf.DUMMYFUNCTION("""COMPUTED_VALUE"""),280.52)</f>
        <v>280.52</v>
      </c>
      <c r="D805" s="2">
        <f t="shared" si="4"/>
        <v>-0.005812305075</v>
      </c>
    </row>
    <row r="806">
      <c r="A806" s="1" t="s">
        <v>5</v>
      </c>
      <c r="B806" s="3">
        <f>IFERROR(__xludf.DUMMYFUNCTION("""COMPUTED_VALUE"""),45779.66666666667)</f>
        <v>45779.66667</v>
      </c>
      <c r="C806" s="2">
        <f>IFERROR(__xludf.DUMMYFUNCTION("""COMPUTED_VALUE"""),287.21)</f>
        <v>287.21</v>
      </c>
      <c r="D806" s="2">
        <f t="shared" si="4"/>
        <v>0.02384856695</v>
      </c>
    </row>
    <row r="807">
      <c r="A807" s="1" t="s">
        <v>5</v>
      </c>
      <c r="B807" s="3">
        <f>IFERROR(__xludf.DUMMYFUNCTION("""COMPUTED_VALUE"""),45782.66666666667)</f>
        <v>45782.66667</v>
      </c>
      <c r="C807" s="2">
        <f>IFERROR(__xludf.DUMMYFUNCTION("""COMPUTED_VALUE"""),280.26)</f>
        <v>280.26</v>
      </c>
      <c r="D807" s="2">
        <f t="shared" si="4"/>
        <v>-0.02419832179</v>
      </c>
    </row>
    <row r="808">
      <c r="A808" s="1" t="s">
        <v>5</v>
      </c>
      <c r="B808" s="3">
        <f>IFERROR(__xludf.DUMMYFUNCTION("""COMPUTED_VALUE"""),45783.66666666667)</f>
        <v>45783.66667</v>
      </c>
      <c r="C808" s="2">
        <f>IFERROR(__xludf.DUMMYFUNCTION("""COMPUTED_VALUE"""),275.35)</f>
        <v>275.35</v>
      </c>
      <c r="D808" s="2">
        <f t="shared" si="4"/>
        <v>-0.01751944623</v>
      </c>
    </row>
    <row r="809">
      <c r="A809" s="1" t="s">
        <v>5</v>
      </c>
      <c r="B809" s="3">
        <f>IFERROR(__xludf.DUMMYFUNCTION("""COMPUTED_VALUE"""),45784.66666666667)</f>
        <v>45784.66667</v>
      </c>
      <c r="C809" s="2">
        <f>IFERROR(__xludf.DUMMYFUNCTION("""COMPUTED_VALUE"""),276.22)</f>
        <v>276.22</v>
      </c>
      <c r="D809" s="2">
        <f t="shared" si="4"/>
        <v>0.003159615035</v>
      </c>
    </row>
    <row r="810">
      <c r="A810" s="1" t="s">
        <v>5</v>
      </c>
      <c r="B810" s="3">
        <f>IFERROR(__xludf.DUMMYFUNCTION("""COMPUTED_VALUE"""),45785.66666666667)</f>
        <v>45785.66667</v>
      </c>
      <c r="C810" s="2">
        <f>IFERROR(__xludf.DUMMYFUNCTION("""COMPUTED_VALUE"""),284.82)</f>
        <v>284.82</v>
      </c>
      <c r="D810" s="2">
        <f t="shared" si="4"/>
        <v>0.03113460285</v>
      </c>
    </row>
    <row r="811">
      <c r="A811" s="1" t="s">
        <v>5</v>
      </c>
      <c r="B811" s="3">
        <f>IFERROR(__xludf.DUMMYFUNCTION("""COMPUTED_VALUE"""),45786.66666666667)</f>
        <v>45786.66667</v>
      </c>
      <c r="C811" s="2">
        <f>IFERROR(__xludf.DUMMYFUNCTION("""COMPUTED_VALUE"""),298.26)</f>
        <v>298.26</v>
      </c>
      <c r="D811" s="2">
        <f t="shared" si="4"/>
        <v>0.04718769749</v>
      </c>
    </row>
    <row r="812">
      <c r="A812" s="1" t="s">
        <v>5</v>
      </c>
      <c r="B812" s="3">
        <f>IFERROR(__xludf.DUMMYFUNCTION("""COMPUTED_VALUE"""),45789.66666666667)</f>
        <v>45789.66667</v>
      </c>
      <c r="C812" s="2">
        <f>IFERROR(__xludf.DUMMYFUNCTION("""COMPUTED_VALUE"""),318.38)</f>
        <v>318.38</v>
      </c>
      <c r="D812" s="2">
        <f t="shared" si="4"/>
        <v>0.06745792262</v>
      </c>
    </row>
    <row r="813">
      <c r="A813" s="1" t="s">
        <v>5</v>
      </c>
      <c r="B813" s="3">
        <f>IFERROR(__xludf.DUMMYFUNCTION("""COMPUTED_VALUE"""),45790.66666666667)</f>
        <v>45790.66667</v>
      </c>
      <c r="C813" s="2">
        <f>IFERROR(__xludf.DUMMYFUNCTION("""COMPUTED_VALUE"""),334.07)</f>
        <v>334.07</v>
      </c>
      <c r="D813" s="2">
        <f t="shared" si="4"/>
        <v>0.04928073371</v>
      </c>
    </row>
    <row r="814">
      <c r="A814" s="1" t="s">
        <v>5</v>
      </c>
      <c r="B814" s="3">
        <f>IFERROR(__xludf.DUMMYFUNCTION("""COMPUTED_VALUE"""),45791.66666666667)</f>
        <v>45791.66667</v>
      </c>
      <c r="C814" s="2">
        <f>IFERROR(__xludf.DUMMYFUNCTION("""COMPUTED_VALUE"""),347.68)</f>
        <v>347.68</v>
      </c>
      <c r="D814" s="2">
        <f t="shared" si="4"/>
        <v>0.04073996468</v>
      </c>
    </row>
    <row r="815">
      <c r="A815" s="1" t="s">
        <v>5</v>
      </c>
      <c r="B815" s="3">
        <f>IFERROR(__xludf.DUMMYFUNCTION("""COMPUTED_VALUE"""),45792.66666666667)</f>
        <v>45792.66667</v>
      </c>
      <c r="C815" s="2">
        <f>IFERROR(__xludf.DUMMYFUNCTION("""COMPUTED_VALUE"""),342.82)</f>
        <v>342.82</v>
      </c>
      <c r="D815" s="2">
        <f t="shared" si="4"/>
        <v>-0.01397837092</v>
      </c>
    </row>
    <row r="816">
      <c r="A816" s="1" t="s">
        <v>5</v>
      </c>
      <c r="B816" s="3">
        <f>IFERROR(__xludf.DUMMYFUNCTION("""COMPUTED_VALUE"""),45793.66666666667)</f>
        <v>45793.66667</v>
      </c>
      <c r="C816" s="2">
        <f>IFERROR(__xludf.DUMMYFUNCTION("""COMPUTED_VALUE"""),349.98)</f>
        <v>349.98</v>
      </c>
      <c r="D816" s="2">
        <f t="shared" si="4"/>
        <v>0.02088559594</v>
      </c>
    </row>
    <row r="817">
      <c r="A817" s="1" t="s">
        <v>5</v>
      </c>
      <c r="B817" s="3">
        <f>IFERROR(__xludf.DUMMYFUNCTION("""COMPUTED_VALUE"""),45796.66666666667)</f>
        <v>45796.66667</v>
      </c>
      <c r="C817" s="2">
        <f>IFERROR(__xludf.DUMMYFUNCTION("""COMPUTED_VALUE"""),342.09)</f>
        <v>342.09</v>
      </c>
      <c r="D817" s="2">
        <f t="shared" si="4"/>
        <v>-0.02254414538</v>
      </c>
    </row>
    <row r="818">
      <c r="A818" s="1" t="s">
        <v>5</v>
      </c>
      <c r="B818" s="3">
        <f>IFERROR(__xludf.DUMMYFUNCTION("""COMPUTED_VALUE"""),45797.66666666667)</f>
        <v>45797.66667</v>
      </c>
      <c r="C818" s="2">
        <f>IFERROR(__xludf.DUMMYFUNCTION("""COMPUTED_VALUE"""),343.82)</f>
        <v>343.82</v>
      </c>
      <c r="D818" s="2">
        <f t="shared" si="4"/>
        <v>0.005057148704</v>
      </c>
    </row>
    <row r="819">
      <c r="A819" s="1" t="s">
        <v>5</v>
      </c>
      <c r="B819" s="3">
        <f>IFERROR(__xludf.DUMMYFUNCTION("""COMPUTED_VALUE"""),45798.66666666667)</f>
        <v>45798.66667</v>
      </c>
      <c r="C819" s="2">
        <f>IFERROR(__xludf.DUMMYFUNCTION("""COMPUTED_VALUE"""),334.62)</f>
        <v>334.62</v>
      </c>
      <c r="D819" s="2">
        <f t="shared" si="4"/>
        <v>-0.02675818742</v>
      </c>
    </row>
    <row r="820">
      <c r="A820" s="1" t="s">
        <v>5</v>
      </c>
      <c r="B820" s="3">
        <f>IFERROR(__xludf.DUMMYFUNCTION("""COMPUTED_VALUE"""),45799.66666666667)</f>
        <v>45799.66667</v>
      </c>
      <c r="C820" s="2">
        <f>IFERROR(__xludf.DUMMYFUNCTION("""COMPUTED_VALUE"""),334.62)</f>
        <v>334.62</v>
      </c>
      <c r="D820" s="2">
        <f t="shared" si="4"/>
        <v>0</v>
      </c>
    </row>
    <row r="821">
      <c r="A821" s="1" t="s">
        <v>5</v>
      </c>
      <c r="B821" s="3">
        <f>IFERROR(__xludf.DUMMYFUNCTION("""COMPUTED_VALUE"""),45800.66666666667)</f>
        <v>45800.66667</v>
      </c>
      <c r="C821" s="2">
        <f>IFERROR(__xludf.DUMMYFUNCTION("""COMPUTED_VALUE"""),339.34)</f>
        <v>339.34</v>
      </c>
      <c r="D821" s="2">
        <f t="shared" si="4"/>
        <v>0.01410555257</v>
      </c>
    </row>
    <row r="822">
      <c r="A822" s="1" t="s">
        <v>5</v>
      </c>
      <c r="B822" s="3">
        <f>IFERROR(__xludf.DUMMYFUNCTION("""COMPUTED_VALUE"""),45804.66666666667)</f>
        <v>45804.66667</v>
      </c>
      <c r="C822" s="2">
        <f>IFERROR(__xludf.DUMMYFUNCTION("""COMPUTED_VALUE"""),362.89)</f>
        <v>362.89</v>
      </c>
      <c r="D822" s="2">
        <f t="shared" si="4"/>
        <v>0.06939942241</v>
      </c>
    </row>
    <row r="823">
      <c r="A823" s="1" t="s">
        <v>5</v>
      </c>
      <c r="B823" s="3">
        <f>IFERROR(__xludf.DUMMYFUNCTION("""COMPUTED_VALUE"""),45805.66666666667)</f>
        <v>45805.66667</v>
      </c>
      <c r="C823" s="2">
        <f>IFERROR(__xludf.DUMMYFUNCTION("""COMPUTED_VALUE"""),356.9)</f>
        <v>356.9</v>
      </c>
      <c r="D823" s="2">
        <f t="shared" si="4"/>
        <v>-0.01650637934</v>
      </c>
    </row>
    <row r="824">
      <c r="A824" s="1" t="s">
        <v>5</v>
      </c>
      <c r="B824" s="3">
        <f>IFERROR(__xludf.DUMMYFUNCTION("""COMPUTED_VALUE"""),45806.66666666667)</f>
        <v>45806.66667</v>
      </c>
      <c r="C824" s="2">
        <f>IFERROR(__xludf.DUMMYFUNCTION("""COMPUTED_VALUE"""),358.43)</f>
        <v>358.43</v>
      </c>
      <c r="D824" s="2">
        <f t="shared" si="4"/>
        <v>0.004286915102</v>
      </c>
    </row>
    <row r="825">
      <c r="A825" s="1" t="s">
        <v>5</v>
      </c>
      <c r="B825" s="3">
        <f>IFERROR(__xludf.DUMMYFUNCTION("""COMPUTED_VALUE"""),45807.66666666667)</f>
        <v>45807.66667</v>
      </c>
      <c r="C825" s="2">
        <f>IFERROR(__xludf.DUMMYFUNCTION("""COMPUTED_VALUE"""),346.46)</f>
        <v>346.46</v>
      </c>
      <c r="D825" s="2">
        <f t="shared" si="4"/>
        <v>-0.03339564211</v>
      </c>
    </row>
    <row r="826">
      <c r="A826" s="1" t="s">
        <v>5</v>
      </c>
      <c r="B826" s="3">
        <f>IFERROR(__xludf.DUMMYFUNCTION("""COMPUTED_VALUE"""),45810.66666666667)</f>
        <v>45810.66667</v>
      </c>
      <c r="C826" s="2">
        <f>IFERROR(__xludf.DUMMYFUNCTION("""COMPUTED_VALUE"""),342.69)</f>
        <v>342.69</v>
      </c>
      <c r="D826" s="2">
        <f t="shared" si="4"/>
        <v>-0.01088148704</v>
      </c>
    </row>
    <row r="827">
      <c r="A827" s="1" t="s">
        <v>5</v>
      </c>
      <c r="B827" s="3">
        <f>IFERROR(__xludf.DUMMYFUNCTION("""COMPUTED_VALUE"""),45811.66666666667)</f>
        <v>45811.66667</v>
      </c>
      <c r="C827" s="2">
        <f>IFERROR(__xludf.DUMMYFUNCTION("""COMPUTED_VALUE"""),344.27)</f>
        <v>344.27</v>
      </c>
      <c r="D827" s="2">
        <f t="shared" si="4"/>
        <v>0.004610580992</v>
      </c>
    </row>
    <row r="828">
      <c r="A828" s="1" t="s">
        <v>5</v>
      </c>
      <c r="B828" s="3">
        <f>IFERROR(__xludf.DUMMYFUNCTION("""COMPUTED_VALUE"""),45812.66666666667)</f>
        <v>45812.66667</v>
      </c>
      <c r="C828" s="2">
        <f>IFERROR(__xludf.DUMMYFUNCTION("""COMPUTED_VALUE"""),332.05)</f>
        <v>332.05</v>
      </c>
      <c r="D828" s="2">
        <f t="shared" si="4"/>
        <v>-0.03549539606</v>
      </c>
    </row>
    <row r="829">
      <c r="A829" s="1" t="s">
        <v>5</v>
      </c>
      <c r="B829" s="3">
        <f>IFERROR(__xludf.DUMMYFUNCTION("""COMPUTED_VALUE"""),45813.66666666667)</f>
        <v>45813.66667</v>
      </c>
      <c r="C829" s="2">
        <f>IFERROR(__xludf.DUMMYFUNCTION("""COMPUTED_VALUE"""),284.7)</f>
        <v>284.7</v>
      </c>
      <c r="D829" s="2">
        <f t="shared" si="4"/>
        <v>-0.1425990062</v>
      </c>
    </row>
    <row r="830">
      <c r="A830" s="1" t="s">
        <v>5</v>
      </c>
      <c r="B830" s="3">
        <f>IFERROR(__xludf.DUMMYFUNCTION("""COMPUTED_VALUE"""),45814.66666666667)</f>
        <v>45814.66667</v>
      </c>
      <c r="C830" s="2">
        <f>IFERROR(__xludf.DUMMYFUNCTION("""COMPUTED_VALUE"""),295.14)</f>
        <v>295.14</v>
      </c>
      <c r="D830" s="2">
        <f t="shared" si="4"/>
        <v>0.03667017914</v>
      </c>
    </row>
    <row r="831">
      <c r="A831" s="1" t="s">
        <v>5</v>
      </c>
      <c r="B831" s="3">
        <f>IFERROR(__xludf.DUMMYFUNCTION("""COMPUTED_VALUE"""),45817.66666666667)</f>
        <v>45817.66667</v>
      </c>
      <c r="C831" s="2">
        <f>IFERROR(__xludf.DUMMYFUNCTION("""COMPUTED_VALUE"""),308.58)</f>
        <v>308.58</v>
      </c>
      <c r="D831" s="2">
        <f t="shared" si="4"/>
        <v>0.04553771092</v>
      </c>
    </row>
    <row r="832">
      <c r="A832" s="1" t="s">
        <v>5</v>
      </c>
      <c r="B832" s="3">
        <f>IFERROR(__xludf.DUMMYFUNCTION("""COMPUTED_VALUE"""),45818.66666666667)</f>
        <v>45818.66667</v>
      </c>
      <c r="C832" s="2">
        <f>IFERROR(__xludf.DUMMYFUNCTION("""COMPUTED_VALUE"""),326.09)</f>
        <v>326.09</v>
      </c>
      <c r="D832" s="2">
        <f t="shared" si="4"/>
        <v>0.05674379415</v>
      </c>
    </row>
    <row r="833">
      <c r="A833" s="1" t="s">
        <v>5</v>
      </c>
      <c r="B833" s="3">
        <f>IFERROR(__xludf.DUMMYFUNCTION("""COMPUTED_VALUE"""),45819.66666666667)</f>
        <v>45819.66667</v>
      </c>
      <c r="C833" s="2">
        <f>IFERROR(__xludf.DUMMYFUNCTION("""COMPUTED_VALUE"""),326.43)</f>
        <v>326.43</v>
      </c>
      <c r="D833" s="2">
        <f t="shared" si="4"/>
        <v>0.001042656935</v>
      </c>
    </row>
    <row r="834">
      <c r="A834" s="1" t="s">
        <v>5</v>
      </c>
      <c r="B834" s="3">
        <f>IFERROR(__xludf.DUMMYFUNCTION("""COMPUTED_VALUE"""),45820.66666666667)</f>
        <v>45820.66667</v>
      </c>
      <c r="C834" s="2">
        <f>IFERROR(__xludf.DUMMYFUNCTION("""COMPUTED_VALUE"""),319.11)</f>
        <v>319.11</v>
      </c>
      <c r="D834" s="2">
        <f t="shared" si="4"/>
        <v>-0.02242440952</v>
      </c>
    </row>
    <row r="835">
      <c r="A835" s="1" t="s">
        <v>5</v>
      </c>
      <c r="B835" s="3">
        <f>IFERROR(__xludf.DUMMYFUNCTION("""COMPUTED_VALUE"""),45821.66666666667)</f>
        <v>45821.66667</v>
      </c>
      <c r="C835" s="2">
        <f>IFERROR(__xludf.DUMMYFUNCTION("""COMPUTED_VALUE"""),325.31)</f>
        <v>325.31</v>
      </c>
      <c r="D835" s="2">
        <f t="shared" si="4"/>
        <v>0.01942903701</v>
      </c>
    </row>
    <row r="836">
      <c r="A836" s="1" t="s">
        <v>5</v>
      </c>
      <c r="B836" s="3">
        <f>IFERROR(__xludf.DUMMYFUNCTION("""COMPUTED_VALUE"""),45824.66666666667)</f>
        <v>45824.66667</v>
      </c>
      <c r="C836" s="2">
        <f>IFERROR(__xludf.DUMMYFUNCTION("""COMPUTED_VALUE"""),329.13)</f>
        <v>329.13</v>
      </c>
      <c r="D836" s="2">
        <f t="shared" si="4"/>
        <v>0.01174264548</v>
      </c>
    </row>
    <row r="837">
      <c r="A837" s="1" t="s">
        <v>5</v>
      </c>
      <c r="B837" s="3">
        <f>IFERROR(__xludf.DUMMYFUNCTION("""COMPUTED_VALUE"""),45825.66666666667)</f>
        <v>45825.66667</v>
      </c>
      <c r="C837" s="2">
        <f>IFERROR(__xludf.DUMMYFUNCTION("""COMPUTED_VALUE"""),316.35)</f>
        <v>316.35</v>
      </c>
      <c r="D837" s="2">
        <f t="shared" si="4"/>
        <v>-0.03882964178</v>
      </c>
    </row>
    <row r="838">
      <c r="A838" s="1" t="s">
        <v>5</v>
      </c>
      <c r="B838" s="3">
        <f>IFERROR(__xludf.DUMMYFUNCTION("""COMPUTED_VALUE"""),45826.66666666667)</f>
        <v>45826.66667</v>
      </c>
      <c r="C838" s="2">
        <f>IFERROR(__xludf.DUMMYFUNCTION("""COMPUTED_VALUE"""),322.05)</f>
        <v>322.05</v>
      </c>
      <c r="D838" s="2">
        <f t="shared" si="4"/>
        <v>0.01801801802</v>
      </c>
    </row>
    <row r="839">
      <c r="A839" s="1" t="s">
        <v>5</v>
      </c>
      <c r="B839" s="3">
        <f>IFERROR(__xludf.DUMMYFUNCTION("""COMPUTED_VALUE"""),45828.66666666667)</f>
        <v>45828.66667</v>
      </c>
      <c r="C839" s="2">
        <f>IFERROR(__xludf.DUMMYFUNCTION("""COMPUTED_VALUE"""),322.16)</f>
        <v>322.16</v>
      </c>
      <c r="D839" s="2">
        <f t="shared" si="4"/>
        <v>0.0003415618693</v>
      </c>
    </row>
    <row r="840">
      <c r="A840" s="1" t="s">
        <v>5</v>
      </c>
      <c r="B840" s="3">
        <f>IFERROR(__xludf.DUMMYFUNCTION("""COMPUTED_VALUE"""),45831.66666666667)</f>
        <v>45831.66667</v>
      </c>
      <c r="C840" s="2">
        <f>IFERROR(__xludf.DUMMYFUNCTION("""COMPUTED_VALUE"""),348.68)</f>
        <v>348.68</v>
      </c>
      <c r="D840" s="2">
        <f t="shared" si="4"/>
        <v>0.08231934443</v>
      </c>
    </row>
    <row r="841">
      <c r="A841" s="1" t="s">
        <v>5</v>
      </c>
      <c r="B841" s="3">
        <f>IFERROR(__xludf.DUMMYFUNCTION("""COMPUTED_VALUE"""),45832.66666666667)</f>
        <v>45832.66667</v>
      </c>
      <c r="C841" s="2">
        <f>IFERROR(__xludf.DUMMYFUNCTION("""COMPUTED_VALUE"""),340.47)</f>
        <v>340.47</v>
      </c>
      <c r="D841" s="2">
        <f t="shared" si="4"/>
        <v>-0.02354594471</v>
      </c>
    </row>
    <row r="842">
      <c r="A842" s="1" t="s">
        <v>5</v>
      </c>
      <c r="B842" s="3">
        <f>IFERROR(__xludf.DUMMYFUNCTION("""COMPUTED_VALUE"""),45833.66666666667)</f>
        <v>45833.66667</v>
      </c>
      <c r="C842" s="2">
        <f>IFERROR(__xludf.DUMMYFUNCTION("""COMPUTED_VALUE"""),327.55)</f>
        <v>327.55</v>
      </c>
      <c r="D842" s="2">
        <f t="shared" si="4"/>
        <v>-0.0379475431</v>
      </c>
    </row>
    <row r="843">
      <c r="A843" s="1" t="s">
        <v>5</v>
      </c>
      <c r="B843" s="3">
        <f>IFERROR(__xludf.DUMMYFUNCTION("""COMPUTED_VALUE"""),45834.66666666667)</f>
        <v>45834.66667</v>
      </c>
      <c r="C843" s="2">
        <f>IFERROR(__xludf.DUMMYFUNCTION("""COMPUTED_VALUE"""),325.78)</f>
        <v>325.78</v>
      </c>
      <c r="D843" s="2">
        <f t="shared" si="4"/>
        <v>-0.005403755152</v>
      </c>
    </row>
    <row r="844">
      <c r="A844" s="1" t="s">
        <v>5</v>
      </c>
      <c r="B844" s="3">
        <f>IFERROR(__xludf.DUMMYFUNCTION("""COMPUTED_VALUE"""),45835.66666666667)</f>
        <v>45835.66667</v>
      </c>
      <c r="C844" s="2">
        <f>IFERROR(__xludf.DUMMYFUNCTION("""COMPUTED_VALUE"""),323.63)</f>
        <v>323.63</v>
      </c>
      <c r="D844" s="2">
        <f t="shared" si="4"/>
        <v>-0.006599545706</v>
      </c>
    </row>
    <row r="845">
      <c r="A845" s="1" t="s">
        <v>5</v>
      </c>
      <c r="B845" s="3">
        <f>IFERROR(__xludf.DUMMYFUNCTION("""COMPUTED_VALUE"""),45838.66666666667)</f>
        <v>45838.66667</v>
      </c>
      <c r="C845" s="2">
        <f>IFERROR(__xludf.DUMMYFUNCTION("""COMPUTED_VALUE"""),317.66)</f>
        <v>317.66</v>
      </c>
      <c r="D845" s="2">
        <f t="shared" si="4"/>
        <v>-0.01844699194</v>
      </c>
    </row>
    <row r="846">
      <c r="A846" s="1" t="s">
        <v>5</v>
      </c>
      <c r="B846" s="3">
        <f>IFERROR(__xludf.DUMMYFUNCTION("""COMPUTED_VALUE"""),45839.66666666667)</f>
        <v>45839.66667</v>
      </c>
      <c r="C846" s="2">
        <f>IFERROR(__xludf.DUMMYFUNCTION("""COMPUTED_VALUE"""),300.71)</f>
        <v>300.71</v>
      </c>
      <c r="D846" s="2">
        <f t="shared" si="4"/>
        <v>-0.05335893723</v>
      </c>
    </row>
    <row r="847">
      <c r="A847" s="1" t="s">
        <v>5</v>
      </c>
      <c r="B847" s="3">
        <f>IFERROR(__xludf.DUMMYFUNCTION("""COMPUTED_VALUE"""),45840.66666666667)</f>
        <v>45840.66667</v>
      </c>
      <c r="C847" s="2">
        <f>IFERROR(__xludf.DUMMYFUNCTION("""COMPUTED_VALUE"""),315.65)</f>
        <v>315.65</v>
      </c>
      <c r="D847" s="2">
        <f t="shared" si="4"/>
        <v>0.04968241828</v>
      </c>
    </row>
    <row r="848">
      <c r="A848" s="1" t="s">
        <v>5</v>
      </c>
      <c r="B848" s="3">
        <f>IFERROR(__xludf.DUMMYFUNCTION("""COMPUTED_VALUE"""),45841.54513888889)</f>
        <v>45841.54514</v>
      </c>
      <c r="C848" s="2">
        <f>IFERROR(__xludf.DUMMYFUNCTION("""COMPUTED_VALUE"""),315.35)</f>
        <v>315.35</v>
      </c>
      <c r="D848" s="2">
        <f t="shared" si="4"/>
        <v>-0.0009504197687</v>
      </c>
    </row>
    <row r="849">
      <c r="A849" s="1" t="s">
        <v>5</v>
      </c>
      <c r="B849" s="3">
        <f>IFERROR(__xludf.DUMMYFUNCTION("""COMPUTED_VALUE"""),45845.66666666667)</f>
        <v>45845.66667</v>
      </c>
      <c r="C849" s="2">
        <f>IFERROR(__xludf.DUMMYFUNCTION("""COMPUTED_VALUE"""),293.94)</f>
        <v>293.94</v>
      </c>
      <c r="D849" s="2">
        <f t="shared" si="4"/>
        <v>-0.0678928175</v>
      </c>
    </row>
    <row r="850">
      <c r="A850" s="1" t="s">
        <v>5</v>
      </c>
      <c r="B850" s="3">
        <f>IFERROR(__xludf.DUMMYFUNCTION("""COMPUTED_VALUE"""),45846.66666666667)</f>
        <v>45846.66667</v>
      </c>
      <c r="C850" s="2">
        <f>IFERROR(__xludf.DUMMYFUNCTION("""COMPUTED_VALUE"""),297.81)</f>
        <v>297.81</v>
      </c>
      <c r="D850" s="2">
        <f t="shared" si="4"/>
        <v>0.01316595224</v>
      </c>
    </row>
    <row r="851">
      <c r="A851" s="1" t="s">
        <v>5</v>
      </c>
      <c r="B851" s="3">
        <f>IFERROR(__xludf.DUMMYFUNCTION("""COMPUTED_VALUE"""),45847.66666666667)</f>
        <v>45847.66667</v>
      </c>
      <c r="C851" s="2">
        <f>IFERROR(__xludf.DUMMYFUNCTION("""COMPUTED_VALUE"""),295.88)</f>
        <v>295.88</v>
      </c>
      <c r="D851" s="2">
        <f t="shared" si="4"/>
        <v>-0.00648064202</v>
      </c>
    </row>
    <row r="852">
      <c r="A852" s="1" t="s">
        <v>5</v>
      </c>
      <c r="B852" s="3">
        <f>IFERROR(__xludf.DUMMYFUNCTION("""COMPUTED_VALUE"""),45848.66666666667)</f>
        <v>45848.66667</v>
      </c>
      <c r="C852" s="2">
        <f>IFERROR(__xludf.DUMMYFUNCTION("""COMPUTED_VALUE"""),309.87)</f>
        <v>309.87</v>
      </c>
      <c r="D852" s="2">
        <f t="shared" si="4"/>
        <v>0.04728268217</v>
      </c>
    </row>
    <row r="853">
      <c r="A853" s="1" t="s">
        <v>5</v>
      </c>
      <c r="B853" s="3">
        <f>IFERROR(__xludf.DUMMYFUNCTION("""COMPUTED_VALUE"""),45849.66666666667)</f>
        <v>45849.66667</v>
      </c>
      <c r="C853" s="2">
        <f>IFERROR(__xludf.DUMMYFUNCTION("""COMPUTED_VALUE"""),313.51)</f>
        <v>313.51</v>
      </c>
      <c r="D853" s="2">
        <f t="shared" si="4"/>
        <v>0.01174686159</v>
      </c>
    </row>
    <row r="854">
      <c r="A854" s="1" t="s">
        <v>5</v>
      </c>
      <c r="B854" s="3">
        <f>IFERROR(__xludf.DUMMYFUNCTION("""COMPUTED_VALUE"""),45852.66666666667)</f>
        <v>45852.66667</v>
      </c>
      <c r="C854" s="2">
        <f>IFERROR(__xludf.DUMMYFUNCTION("""COMPUTED_VALUE"""),316.9)</f>
        <v>316.9</v>
      </c>
      <c r="D854" s="2">
        <f t="shared" si="4"/>
        <v>0.01081305222</v>
      </c>
    </row>
    <row r="855">
      <c r="A855" s="1" t="s">
        <v>5</v>
      </c>
      <c r="B855" s="3">
        <f>IFERROR(__xludf.DUMMYFUNCTION("""COMPUTED_VALUE"""),45853.66666666667)</f>
        <v>45853.66667</v>
      </c>
      <c r="C855" s="2">
        <f>IFERROR(__xludf.DUMMYFUNCTION("""COMPUTED_VALUE"""),310.78)</f>
        <v>310.78</v>
      </c>
      <c r="D855" s="2">
        <f t="shared" si="4"/>
        <v>-0.01931208583</v>
      </c>
    </row>
    <row r="856">
      <c r="A856" s="1" t="s">
        <v>5</v>
      </c>
      <c r="B856" s="3">
        <f>IFERROR(__xludf.DUMMYFUNCTION("""COMPUTED_VALUE"""),45854.66666666667)</f>
        <v>45854.66667</v>
      </c>
      <c r="C856" s="2">
        <f>IFERROR(__xludf.DUMMYFUNCTION("""COMPUTED_VALUE"""),321.67)</f>
        <v>321.67</v>
      </c>
      <c r="D856" s="2">
        <f t="shared" si="4"/>
        <v>0.03504086492</v>
      </c>
    </row>
    <row r="857">
      <c r="A857" s="1" t="s">
        <v>5</v>
      </c>
      <c r="B857" s="3">
        <f>IFERROR(__xludf.DUMMYFUNCTION("""COMPUTED_VALUE"""),45855.66666666667)</f>
        <v>45855.66667</v>
      </c>
      <c r="C857" s="2">
        <f>IFERROR(__xludf.DUMMYFUNCTION("""COMPUTED_VALUE"""),319.41)</f>
        <v>319.41</v>
      </c>
      <c r="D857" s="2">
        <f t="shared" si="4"/>
        <v>-0.007025833929</v>
      </c>
    </row>
    <row r="858">
      <c r="A858" s="1" t="s">
        <v>5</v>
      </c>
      <c r="B858" s="3">
        <f>IFERROR(__xludf.DUMMYFUNCTION("""COMPUTED_VALUE"""),45856.66666666667)</f>
        <v>45856.66667</v>
      </c>
      <c r="C858" s="2">
        <f>IFERROR(__xludf.DUMMYFUNCTION("""COMPUTED_VALUE"""),329.65)</f>
        <v>329.65</v>
      </c>
      <c r="D858" s="2">
        <f t="shared" si="4"/>
        <v>0.03205910898</v>
      </c>
    </row>
    <row r="859">
      <c r="A859" s="1" t="s">
        <v>5</v>
      </c>
      <c r="B859" s="3">
        <f>IFERROR(__xludf.DUMMYFUNCTION("""COMPUTED_VALUE"""),45859.66666666667)</f>
        <v>45859.66667</v>
      </c>
      <c r="C859" s="2">
        <f>IFERROR(__xludf.DUMMYFUNCTION("""COMPUTED_VALUE"""),328.49)</f>
        <v>328.49</v>
      </c>
      <c r="D859" s="2">
        <f t="shared" si="4"/>
        <v>-0.003518883664</v>
      </c>
    </row>
    <row r="860">
      <c r="A860" s="1" t="s">
        <v>5</v>
      </c>
      <c r="B860" s="3">
        <f>IFERROR(__xludf.DUMMYFUNCTION("""COMPUTED_VALUE"""),45860.66666666667)</f>
        <v>45860.66667</v>
      </c>
      <c r="C860" s="2">
        <f>IFERROR(__xludf.DUMMYFUNCTION("""COMPUTED_VALUE"""),332.11)</f>
        <v>332.11</v>
      </c>
      <c r="D860" s="2">
        <f t="shared" si="4"/>
        <v>0.01102012238</v>
      </c>
    </row>
    <row r="861">
      <c r="A861" s="1" t="s">
        <v>5</v>
      </c>
      <c r="B861" s="3">
        <f>IFERROR(__xludf.DUMMYFUNCTION("""COMPUTED_VALUE"""),45861.66666666667)</f>
        <v>45861.66667</v>
      </c>
      <c r="C861" s="2">
        <f>IFERROR(__xludf.DUMMYFUNCTION("""COMPUTED_VALUE"""),332.56)</f>
        <v>332.56</v>
      </c>
      <c r="D861" s="2">
        <f t="shared" si="4"/>
        <v>0.00135497275</v>
      </c>
    </row>
    <row r="862">
      <c r="A862" s="1" t="s">
        <v>5</v>
      </c>
      <c r="B862" s="3">
        <f>IFERROR(__xludf.DUMMYFUNCTION("""COMPUTED_VALUE"""),45862.66666666667)</f>
        <v>45862.66667</v>
      </c>
      <c r="C862" s="2">
        <f>IFERROR(__xludf.DUMMYFUNCTION("""COMPUTED_VALUE"""),305.3)</f>
        <v>305.3</v>
      </c>
      <c r="D862" s="2">
        <f t="shared" si="4"/>
        <v>-0.0819701708</v>
      </c>
    </row>
    <row r="863">
      <c r="A863" s="1" t="s">
        <v>5</v>
      </c>
      <c r="B863" s="3">
        <f>IFERROR(__xludf.DUMMYFUNCTION("""COMPUTED_VALUE"""),45863.66666666667)</f>
        <v>45863.66667</v>
      </c>
      <c r="C863" s="2">
        <f>IFERROR(__xludf.DUMMYFUNCTION("""COMPUTED_VALUE"""),316.06)</f>
        <v>316.06</v>
      </c>
      <c r="D863" s="2">
        <f t="shared" si="4"/>
        <v>0.03524402227</v>
      </c>
    </row>
    <row r="864">
      <c r="A864" s="1" t="s">
        <v>5</v>
      </c>
      <c r="B864" s="3">
        <f>IFERROR(__xludf.DUMMYFUNCTION("""COMPUTED_VALUE"""),45866.66666666667)</f>
        <v>45866.66667</v>
      </c>
      <c r="C864" s="2">
        <f>IFERROR(__xludf.DUMMYFUNCTION("""COMPUTED_VALUE"""),325.59)</f>
        <v>325.59</v>
      </c>
      <c r="D864" s="2">
        <f t="shared" si="4"/>
        <v>0.03015250269</v>
      </c>
    </row>
    <row r="865">
      <c r="A865" s="1" t="s">
        <v>5</v>
      </c>
      <c r="B865" s="3">
        <f>IFERROR(__xludf.DUMMYFUNCTION("""COMPUTED_VALUE"""),45867.66666666667)</f>
        <v>45867.66667</v>
      </c>
      <c r="C865" s="2">
        <f>IFERROR(__xludf.DUMMYFUNCTION("""COMPUTED_VALUE"""),321.2)</f>
        <v>321.2</v>
      </c>
      <c r="D865" s="2">
        <f t="shared" si="4"/>
        <v>-0.01348321509</v>
      </c>
    </row>
    <row r="866">
      <c r="A866" s="1" t="s">
        <v>5</v>
      </c>
      <c r="B866" s="3">
        <f>IFERROR(__xludf.DUMMYFUNCTION("""COMPUTED_VALUE"""),45868.66666666667)</f>
        <v>45868.66667</v>
      </c>
      <c r="C866" s="2">
        <f>IFERROR(__xludf.DUMMYFUNCTION("""COMPUTED_VALUE"""),319.04)</f>
        <v>319.04</v>
      </c>
      <c r="D866" s="2">
        <f t="shared" si="4"/>
        <v>-0.006724782067</v>
      </c>
    </row>
    <row r="867">
      <c r="A867" s="1" t="s">
        <v>5</v>
      </c>
      <c r="B867" s="3">
        <f>IFERROR(__xludf.DUMMYFUNCTION("""COMPUTED_VALUE"""),45869.66666666667)</f>
        <v>45869.66667</v>
      </c>
      <c r="C867" s="2">
        <f>IFERROR(__xludf.DUMMYFUNCTION("""COMPUTED_VALUE"""),308.27)</f>
        <v>308.27</v>
      </c>
      <c r="D867" s="2">
        <f t="shared" si="4"/>
        <v>-0.03375752257</v>
      </c>
    </row>
    <row r="868">
      <c r="A868" s="1" t="s">
        <v>5</v>
      </c>
      <c r="B868" s="3">
        <f>IFERROR(__xludf.DUMMYFUNCTION("""COMPUTED_VALUE"""),45870.66666666667)</f>
        <v>45870.66667</v>
      </c>
      <c r="C868" s="2">
        <f>IFERROR(__xludf.DUMMYFUNCTION("""COMPUTED_VALUE"""),302.63)</f>
        <v>302.63</v>
      </c>
      <c r="D868" s="2">
        <f t="shared" si="4"/>
        <v>-0.01829564992</v>
      </c>
    </row>
    <row r="869">
      <c r="A869" s="1" t="s">
        <v>5</v>
      </c>
      <c r="B869" s="3">
        <f>IFERROR(__xludf.DUMMYFUNCTION("""COMPUTED_VALUE"""),45873.66666666667)</f>
        <v>45873.66667</v>
      </c>
      <c r="C869" s="2">
        <f>IFERROR(__xludf.DUMMYFUNCTION("""COMPUTED_VALUE"""),309.26)</f>
        <v>309.26</v>
      </c>
      <c r="D869" s="2">
        <f t="shared" si="4"/>
        <v>0.02190794039</v>
      </c>
    </row>
    <row r="870">
      <c r="A870" s="1" t="s">
        <v>5</v>
      </c>
      <c r="B870" s="3">
        <f>IFERROR(__xludf.DUMMYFUNCTION("""COMPUTED_VALUE"""),45874.66666666667)</f>
        <v>45874.66667</v>
      </c>
      <c r="C870" s="2">
        <f>IFERROR(__xludf.DUMMYFUNCTION("""COMPUTED_VALUE"""),308.72)</f>
        <v>308.72</v>
      </c>
      <c r="D870" s="2">
        <f t="shared" si="4"/>
        <v>-0.001746103602</v>
      </c>
    </row>
    <row r="871">
      <c r="A871" s="1" t="s">
        <v>5</v>
      </c>
      <c r="B871" s="3">
        <f>IFERROR(__xludf.DUMMYFUNCTION("""COMPUTED_VALUE"""),45875.66666666667)</f>
        <v>45875.66667</v>
      </c>
      <c r="C871" s="2">
        <f>IFERROR(__xludf.DUMMYFUNCTION("""COMPUTED_VALUE"""),319.91)</f>
        <v>319.91</v>
      </c>
      <c r="D871" s="2">
        <f t="shared" si="4"/>
        <v>0.0362464369</v>
      </c>
    </row>
    <row r="872">
      <c r="A872" s="1" t="s">
        <v>5</v>
      </c>
      <c r="B872" s="3">
        <f>IFERROR(__xludf.DUMMYFUNCTION("""COMPUTED_VALUE"""),45876.66666666667)</f>
        <v>45876.66667</v>
      </c>
      <c r="C872" s="2">
        <f>IFERROR(__xludf.DUMMYFUNCTION("""COMPUTED_VALUE"""),322.27)</f>
        <v>322.27</v>
      </c>
      <c r="D872" s="2">
        <f t="shared" si="4"/>
        <v>0.007377074802</v>
      </c>
    </row>
    <row r="873">
      <c r="A873" s="1" t="s">
        <v>5</v>
      </c>
      <c r="B873" s="3">
        <f>IFERROR(__xludf.DUMMYFUNCTION("""COMPUTED_VALUE"""),45877.66666666667)</f>
        <v>45877.66667</v>
      </c>
      <c r="C873" s="2">
        <f>IFERROR(__xludf.DUMMYFUNCTION("""COMPUTED_VALUE"""),329.65)</f>
        <v>329.65</v>
      </c>
      <c r="D873" s="2">
        <f t="shared" si="4"/>
        <v>0.02290005275</v>
      </c>
    </row>
    <row r="874">
      <c r="A874" s="1" t="s">
        <v>5</v>
      </c>
      <c r="B874" s="3">
        <f>IFERROR(__xludf.DUMMYFUNCTION("""COMPUTED_VALUE"""),45880.66666666667)</f>
        <v>45880.66667</v>
      </c>
      <c r="C874" s="2">
        <f>IFERROR(__xludf.DUMMYFUNCTION("""COMPUTED_VALUE"""),339.03)</f>
        <v>339.03</v>
      </c>
      <c r="D874" s="2">
        <f t="shared" si="4"/>
        <v>0.02845442136</v>
      </c>
    </row>
    <row r="875">
      <c r="A875" s="1" t="s">
        <v>5</v>
      </c>
      <c r="B875" s="3">
        <f>IFERROR(__xludf.DUMMYFUNCTION("""COMPUTED_VALUE"""),45881.66666666667)</f>
        <v>45881.66667</v>
      </c>
      <c r="C875" s="2">
        <f>IFERROR(__xludf.DUMMYFUNCTION("""COMPUTED_VALUE"""),340.84)</f>
        <v>340.84</v>
      </c>
      <c r="D875" s="2">
        <f t="shared" si="4"/>
        <v>0.005338760582</v>
      </c>
    </row>
    <row r="876">
      <c r="A876" s="1" t="s">
        <v>5</v>
      </c>
      <c r="B876" s="3">
        <f>IFERROR(__xludf.DUMMYFUNCTION("""COMPUTED_VALUE"""),45882.66666666667)</f>
        <v>45882.66667</v>
      </c>
      <c r="C876" s="2">
        <f>IFERROR(__xludf.DUMMYFUNCTION("""COMPUTED_VALUE"""),339.38)</f>
        <v>339.38</v>
      </c>
      <c r="D876" s="2">
        <f t="shared" si="4"/>
        <v>-0.004283534796</v>
      </c>
    </row>
    <row r="877">
      <c r="A877" s="1" t="s">
        <v>5</v>
      </c>
      <c r="B877" s="3">
        <f>IFERROR(__xludf.DUMMYFUNCTION("""COMPUTED_VALUE"""),45883.66666666667)</f>
        <v>45883.66667</v>
      </c>
      <c r="C877" s="2">
        <f>IFERROR(__xludf.DUMMYFUNCTION("""COMPUTED_VALUE"""),335.58)</f>
        <v>335.58</v>
      </c>
      <c r="D877" s="2">
        <f t="shared" si="4"/>
        <v>-0.01119688844</v>
      </c>
    </row>
    <row r="878">
      <c r="A878" s="1" t="s">
        <v>5</v>
      </c>
      <c r="B878" s="3">
        <f>IFERROR(__xludf.DUMMYFUNCTION("""COMPUTED_VALUE"""),45884.66666666667)</f>
        <v>45884.66667</v>
      </c>
      <c r="C878" s="2">
        <f>IFERROR(__xludf.DUMMYFUNCTION("""COMPUTED_VALUE"""),330.56)</f>
        <v>330.56</v>
      </c>
      <c r="D878" s="2">
        <f t="shared" si="4"/>
        <v>-0.01495917516</v>
      </c>
    </row>
    <row r="879">
      <c r="A879" s="1" t="s">
        <v>5</v>
      </c>
      <c r="B879" s="3">
        <f>IFERROR(__xludf.DUMMYFUNCTION("""COMPUTED_VALUE"""),45887.66666666667)</f>
        <v>45887.66667</v>
      </c>
      <c r="C879" s="2">
        <f>IFERROR(__xludf.DUMMYFUNCTION("""COMPUTED_VALUE"""),335.16)</f>
        <v>335.16</v>
      </c>
      <c r="D879" s="2">
        <f t="shared" si="4"/>
        <v>0.01391577928</v>
      </c>
    </row>
    <row r="880">
      <c r="A880" s="1" t="s">
        <v>5</v>
      </c>
      <c r="B880" s="3">
        <f>IFERROR(__xludf.DUMMYFUNCTION("""COMPUTED_VALUE"""),45888.66666666667)</f>
        <v>45888.66667</v>
      </c>
      <c r="C880" s="2">
        <f>IFERROR(__xludf.DUMMYFUNCTION("""COMPUTED_VALUE"""),329.31)</f>
        <v>329.31</v>
      </c>
      <c r="D880" s="2">
        <f t="shared" si="4"/>
        <v>-0.01745435016</v>
      </c>
    </row>
    <row r="881">
      <c r="A881" s="1" t="s">
        <v>5</v>
      </c>
      <c r="B881" s="3">
        <f>IFERROR(__xludf.DUMMYFUNCTION("""COMPUTED_VALUE"""),45889.66666666667)</f>
        <v>45889.66667</v>
      </c>
      <c r="C881" s="2">
        <f>IFERROR(__xludf.DUMMYFUNCTION("""COMPUTED_VALUE"""),323.9)</f>
        <v>323.9</v>
      </c>
      <c r="D881" s="2">
        <f t="shared" si="4"/>
        <v>-0.01642828945</v>
      </c>
    </row>
    <row r="882">
      <c r="A882" s="1" t="s">
        <v>5</v>
      </c>
      <c r="B882" s="3">
        <f>IFERROR(__xludf.DUMMYFUNCTION("""COMPUTED_VALUE"""),45890.66666666667)</f>
        <v>45890.66667</v>
      </c>
      <c r="C882" s="2">
        <f>IFERROR(__xludf.DUMMYFUNCTION("""COMPUTED_VALUE"""),320.11)</f>
        <v>320.11</v>
      </c>
      <c r="D882" s="2">
        <f t="shared" si="4"/>
        <v>-0.01170114233</v>
      </c>
    </row>
    <row r="883">
      <c r="A883" s="1" t="s">
        <v>5</v>
      </c>
      <c r="B883" s="3">
        <f>IFERROR(__xludf.DUMMYFUNCTION("""COMPUTED_VALUE"""),45891.66666666667)</f>
        <v>45891.66667</v>
      </c>
      <c r="C883" s="2">
        <f>IFERROR(__xludf.DUMMYFUNCTION("""COMPUTED_VALUE"""),340.01)</f>
        <v>340.01</v>
      </c>
      <c r="D883" s="2">
        <f t="shared" si="4"/>
        <v>0.06216613039</v>
      </c>
    </row>
    <row r="884">
      <c r="A884" s="1" t="s">
        <v>5</v>
      </c>
      <c r="B884" s="3">
        <f>IFERROR(__xludf.DUMMYFUNCTION("""COMPUTED_VALUE"""),45894.66666666667)</f>
        <v>45894.66667</v>
      </c>
      <c r="C884" s="2">
        <f>IFERROR(__xludf.DUMMYFUNCTION("""COMPUTED_VALUE"""),346.6)</f>
        <v>346.6</v>
      </c>
      <c r="D884" s="2">
        <f t="shared" si="4"/>
        <v>0.01938178289</v>
      </c>
    </row>
    <row r="885">
      <c r="A885" s="1" t="s">
        <v>5</v>
      </c>
      <c r="B885" s="3">
        <f>IFERROR(__xludf.DUMMYFUNCTION("""COMPUTED_VALUE"""),45895.66666666667)</f>
        <v>45895.66667</v>
      </c>
      <c r="C885" s="2">
        <f>IFERROR(__xludf.DUMMYFUNCTION("""COMPUTED_VALUE"""),351.67)</f>
        <v>351.67</v>
      </c>
      <c r="D885" s="2">
        <f t="shared" si="4"/>
        <v>0.01462781304</v>
      </c>
    </row>
    <row r="886">
      <c r="A886" s="1" t="s">
        <v>5</v>
      </c>
      <c r="B886" s="3">
        <f>IFERROR(__xludf.DUMMYFUNCTION("""COMPUTED_VALUE"""),45896.66666666667)</f>
        <v>45896.66667</v>
      </c>
      <c r="C886" s="2">
        <f>IFERROR(__xludf.DUMMYFUNCTION("""COMPUTED_VALUE"""),349.6)</f>
        <v>349.6</v>
      </c>
      <c r="D886" s="2">
        <f t="shared" si="4"/>
        <v>-0.005886200131</v>
      </c>
    </row>
    <row r="887">
      <c r="A887" s="1" t="s">
        <v>5</v>
      </c>
      <c r="B887" s="3">
        <f>IFERROR(__xludf.DUMMYFUNCTION("""COMPUTED_VALUE"""),45897.66666666667)</f>
        <v>45897.66667</v>
      </c>
      <c r="C887" s="2">
        <f>IFERROR(__xludf.DUMMYFUNCTION("""COMPUTED_VALUE"""),345.98)</f>
        <v>345.98</v>
      </c>
      <c r="D887" s="2">
        <f t="shared" si="4"/>
        <v>-0.01035469108</v>
      </c>
    </row>
    <row r="888">
      <c r="A888" s="1" t="s">
        <v>5</v>
      </c>
      <c r="B888" s="3">
        <f>IFERROR(__xludf.DUMMYFUNCTION("""COMPUTED_VALUE"""),45898.66666666667)</f>
        <v>45898.66667</v>
      </c>
      <c r="C888" s="2">
        <f>IFERROR(__xludf.DUMMYFUNCTION("""COMPUTED_VALUE"""),333.87)</f>
        <v>333.87</v>
      </c>
      <c r="D888" s="2">
        <f t="shared" si="4"/>
        <v>-0.03500202324</v>
      </c>
    </row>
    <row r="889">
      <c r="A889" s="1" t="s">
        <v>5</v>
      </c>
      <c r="B889" s="3">
        <f>IFERROR(__xludf.DUMMYFUNCTION("""COMPUTED_VALUE"""),45902.66666666667)</f>
        <v>45902.66667</v>
      </c>
      <c r="C889" s="2">
        <f>IFERROR(__xludf.DUMMYFUNCTION("""COMPUTED_VALUE"""),329.36)</f>
        <v>329.36</v>
      </c>
      <c r="D889" s="2">
        <f t="shared" si="4"/>
        <v>-0.01350825171</v>
      </c>
    </row>
    <row r="890">
      <c r="A890" s="1" t="s">
        <v>5</v>
      </c>
      <c r="B890" s="3">
        <f>IFERROR(__xludf.DUMMYFUNCTION("""COMPUTED_VALUE"""),45903.66666666667)</f>
        <v>45903.66667</v>
      </c>
      <c r="C890" s="2">
        <f>IFERROR(__xludf.DUMMYFUNCTION("""COMPUTED_VALUE"""),334.09)</f>
        <v>334.09</v>
      </c>
      <c r="D890" s="2">
        <f t="shared" si="4"/>
        <v>0.01436118533</v>
      </c>
    </row>
    <row r="891">
      <c r="A891" s="1" t="s">
        <v>5</v>
      </c>
      <c r="B891" s="3">
        <f>IFERROR(__xludf.DUMMYFUNCTION("""COMPUTED_VALUE"""),45904.66666666667)</f>
        <v>45904.66667</v>
      </c>
      <c r="C891" s="2">
        <f>IFERROR(__xludf.DUMMYFUNCTION("""COMPUTED_VALUE"""),338.53)</f>
        <v>338.53</v>
      </c>
      <c r="D891" s="2">
        <f t="shared" si="4"/>
        <v>0.01328983208</v>
      </c>
    </row>
    <row r="892">
      <c r="A892" s="1" t="s">
        <v>5</v>
      </c>
      <c r="B892" s="3">
        <f>IFERROR(__xludf.DUMMYFUNCTION("""COMPUTED_VALUE"""),45905.66666666667)</f>
        <v>45905.66667</v>
      </c>
      <c r="C892" s="2">
        <f>IFERROR(__xludf.DUMMYFUNCTION("""COMPUTED_VALUE"""),350.84)</f>
        <v>350.84</v>
      </c>
      <c r="D892" s="2">
        <f t="shared" si="4"/>
        <v>0.03636309928</v>
      </c>
    </row>
    <row r="893">
      <c r="A893" s="1" t="s">
        <v>5</v>
      </c>
      <c r="B893" s="3">
        <f>IFERROR(__xludf.DUMMYFUNCTION("""COMPUTED_VALUE"""),45908.66666666667)</f>
        <v>45908.66667</v>
      </c>
      <c r="C893" s="2">
        <f>IFERROR(__xludf.DUMMYFUNCTION("""COMPUTED_VALUE"""),346.4)</f>
        <v>346.4</v>
      </c>
      <c r="D893" s="2">
        <f t="shared" si="4"/>
        <v>-0.01265534147</v>
      </c>
    </row>
    <row r="894">
      <c r="A894" s="1" t="s">
        <v>5</v>
      </c>
      <c r="B894" s="3">
        <f>IFERROR(__xludf.DUMMYFUNCTION("""COMPUTED_VALUE"""),45909.66666666667)</f>
        <v>45909.66667</v>
      </c>
      <c r="C894" s="2">
        <f>IFERROR(__xludf.DUMMYFUNCTION("""COMPUTED_VALUE"""),346.97)</f>
        <v>346.97</v>
      </c>
      <c r="D894" s="2">
        <f t="shared" si="4"/>
        <v>0.001645496536</v>
      </c>
    </row>
    <row r="895">
      <c r="A895" s="1" t="s">
        <v>5</v>
      </c>
      <c r="B895" s="3">
        <f>IFERROR(__xludf.DUMMYFUNCTION("""COMPUTED_VALUE"""),45910.66666666667)</f>
        <v>45910.66667</v>
      </c>
      <c r="C895" s="2">
        <f>IFERROR(__xludf.DUMMYFUNCTION("""COMPUTED_VALUE"""),347.79)</f>
        <v>347.79</v>
      </c>
      <c r="D895" s="2">
        <f t="shared" si="4"/>
        <v>0.002363316713</v>
      </c>
    </row>
    <row r="896">
      <c r="A896" s="1" t="s">
        <v>5</v>
      </c>
      <c r="B896" s="3">
        <f>IFERROR(__xludf.DUMMYFUNCTION("""COMPUTED_VALUE"""),45911.66666666667)</f>
        <v>45911.66667</v>
      </c>
      <c r="C896" s="2">
        <f>IFERROR(__xludf.DUMMYFUNCTION("""COMPUTED_VALUE"""),368.81)</f>
        <v>368.81</v>
      </c>
      <c r="D896" s="2">
        <f t="shared" si="4"/>
        <v>0.06043877052</v>
      </c>
    </row>
    <row r="897">
      <c r="A897" s="1" t="s">
        <v>5</v>
      </c>
      <c r="B897" s="3">
        <f>IFERROR(__xludf.DUMMYFUNCTION("""COMPUTED_VALUE"""),45912.66666666667)</f>
        <v>45912.66667</v>
      </c>
      <c r="C897" s="2">
        <f>IFERROR(__xludf.DUMMYFUNCTION("""COMPUTED_VALUE"""),395.94)</f>
        <v>395.94</v>
      </c>
      <c r="D897" s="2">
        <f t="shared" si="4"/>
        <v>0.07356091212</v>
      </c>
    </row>
    <row r="898">
      <c r="A898" s="1" t="s">
        <v>5</v>
      </c>
      <c r="B898" s="3">
        <f>IFERROR(__xludf.DUMMYFUNCTION("""COMPUTED_VALUE"""),45915.66666666667)</f>
        <v>45915.66667</v>
      </c>
      <c r="C898" s="2">
        <f>IFERROR(__xludf.DUMMYFUNCTION("""COMPUTED_VALUE"""),410.04)</f>
        <v>410.04</v>
      </c>
      <c r="D898" s="2">
        <f t="shared" si="4"/>
        <v>0.03561145628</v>
      </c>
    </row>
    <row r="899">
      <c r="A899" s="1" t="s">
        <v>5</v>
      </c>
      <c r="B899" s="3">
        <f>IFERROR(__xludf.DUMMYFUNCTION("""COMPUTED_VALUE"""),45916.66666666667)</f>
        <v>45916.66667</v>
      </c>
      <c r="C899" s="2">
        <f>IFERROR(__xludf.DUMMYFUNCTION("""COMPUTED_VALUE"""),421.62)</f>
        <v>421.62</v>
      </c>
      <c r="D899" s="2">
        <f t="shared" si="4"/>
        <v>0.02824114721</v>
      </c>
    </row>
    <row r="900">
      <c r="A900" s="1" t="s">
        <v>5</v>
      </c>
      <c r="B900" s="3">
        <f>IFERROR(__xludf.DUMMYFUNCTION("""COMPUTED_VALUE"""),45917.66666666667)</f>
        <v>45917.66667</v>
      </c>
      <c r="C900" s="2">
        <f>IFERROR(__xludf.DUMMYFUNCTION("""COMPUTED_VALUE"""),425.86)</f>
        <v>425.86</v>
      </c>
      <c r="D900" s="2">
        <f t="shared" si="4"/>
        <v>0.01005644894</v>
      </c>
    </row>
    <row r="901">
      <c r="A901" s="1" t="s">
        <v>5</v>
      </c>
      <c r="B901" s="3">
        <f>IFERROR(__xludf.DUMMYFUNCTION("""COMPUTED_VALUE"""),45918.66666666667)</f>
        <v>45918.66667</v>
      </c>
      <c r="C901" s="2">
        <f>IFERROR(__xludf.DUMMYFUNCTION("""COMPUTED_VALUE"""),416.85)</f>
        <v>416.85</v>
      </c>
      <c r="D901" s="2">
        <f t="shared" si="4"/>
        <v>-0.02115718781</v>
      </c>
    </row>
    <row r="902">
      <c r="A902" s="1" t="s">
        <v>5</v>
      </c>
      <c r="B902" s="3">
        <f>IFERROR(__xludf.DUMMYFUNCTION("""COMPUTED_VALUE"""),45919.66666666667)</f>
        <v>45919.66667</v>
      </c>
      <c r="C902" s="2">
        <f>IFERROR(__xludf.DUMMYFUNCTION("""COMPUTED_VALUE"""),426.07)</f>
        <v>426.07</v>
      </c>
      <c r="D902" s="2">
        <f t="shared" si="4"/>
        <v>0.02211826796</v>
      </c>
    </row>
    <row r="903">
      <c r="A903" s="1" t="s">
        <v>5</v>
      </c>
      <c r="B903" s="3">
        <f>IFERROR(__xludf.DUMMYFUNCTION("""COMPUTED_VALUE"""),45922.66666666667)</f>
        <v>45922.66667</v>
      </c>
      <c r="C903" s="2">
        <f>IFERROR(__xludf.DUMMYFUNCTION("""COMPUTED_VALUE"""),434.21)</f>
        <v>434.21</v>
      </c>
      <c r="D903" s="2">
        <f t="shared" si="4"/>
        <v>0.01910484193</v>
      </c>
    </row>
    <row r="904">
      <c r="A904" s="1" t="s">
        <v>5</v>
      </c>
      <c r="B904" s="3">
        <f>IFERROR(__xludf.DUMMYFUNCTION("""COMPUTED_VALUE"""),45923.66666666667)</f>
        <v>45923.66667</v>
      </c>
      <c r="C904" s="2">
        <f>IFERROR(__xludf.DUMMYFUNCTION("""COMPUTED_VALUE"""),425.85)</f>
        <v>425.85</v>
      </c>
      <c r="D904" s="2">
        <f t="shared" si="4"/>
        <v>-0.01925335667</v>
      </c>
    </row>
    <row r="905">
      <c r="A905" s="1" t="s">
        <v>5</v>
      </c>
      <c r="B905" s="3">
        <f>IFERROR(__xludf.DUMMYFUNCTION("""COMPUTED_VALUE"""),45924.66666666667)</f>
        <v>45924.66667</v>
      </c>
      <c r="C905" s="2">
        <f>IFERROR(__xludf.DUMMYFUNCTION("""COMPUTED_VALUE"""),442.79)</f>
        <v>442.79</v>
      </c>
      <c r="D905" s="2">
        <f t="shared" si="4"/>
        <v>0.039779265</v>
      </c>
    </row>
    <row r="906">
      <c r="A906" s="1" t="s">
        <v>5</v>
      </c>
      <c r="B906" s="3">
        <f>IFERROR(__xludf.DUMMYFUNCTION("""COMPUTED_VALUE"""),45925.66666666667)</f>
        <v>45925.66667</v>
      </c>
      <c r="C906" s="2">
        <f>IFERROR(__xludf.DUMMYFUNCTION("""COMPUTED_VALUE"""),423.39)</f>
        <v>423.39</v>
      </c>
      <c r="D906" s="2">
        <f t="shared" si="4"/>
        <v>-0.04381309424</v>
      </c>
    </row>
    <row r="907">
      <c r="A907" s="1" t="s">
        <v>5</v>
      </c>
      <c r="B907" s="3">
        <f>IFERROR(__xludf.DUMMYFUNCTION("""COMPUTED_VALUE"""),45926.66666666667)</f>
        <v>45926.66667</v>
      </c>
      <c r="C907" s="2">
        <f>IFERROR(__xludf.DUMMYFUNCTION("""COMPUTED_VALUE"""),440.4)</f>
        <v>440.4</v>
      </c>
      <c r="D907" s="2">
        <f t="shared" si="4"/>
        <v>0.04017572451</v>
      </c>
    </row>
    <row r="908">
      <c r="A908" s="1" t="s">
        <v>5</v>
      </c>
      <c r="B908" s="3">
        <f>IFERROR(__xludf.DUMMYFUNCTION("""COMPUTED_VALUE"""),45929.66666666667)</f>
        <v>45929.66667</v>
      </c>
      <c r="C908" s="2">
        <f>IFERROR(__xludf.DUMMYFUNCTION("""COMPUTED_VALUE"""),443.21)</f>
        <v>443.21</v>
      </c>
      <c r="D908" s="2">
        <f t="shared" si="4"/>
        <v>0.006380563124</v>
      </c>
    </row>
    <row r="909">
      <c r="A909" s="1" t="s">
        <v>5</v>
      </c>
      <c r="B909" s="3">
        <f>IFERROR(__xludf.DUMMYFUNCTION("""COMPUTED_VALUE"""),45930.66666666667)</f>
        <v>45930.66667</v>
      </c>
      <c r="C909" s="2">
        <f>IFERROR(__xludf.DUMMYFUNCTION("""COMPUTED_VALUE"""),444.72)</f>
        <v>444.72</v>
      </c>
      <c r="D909" s="2">
        <f t="shared" si="4"/>
        <v>0.003406962839</v>
      </c>
    </row>
    <row r="910">
      <c r="A910" s="1" t="s">
        <v>5</v>
      </c>
      <c r="B910" s="3">
        <f>IFERROR(__xludf.DUMMYFUNCTION("""COMPUTED_VALUE"""),45931.66666666667)</f>
        <v>45931.66667</v>
      </c>
      <c r="C910" s="2">
        <f>IFERROR(__xludf.DUMMYFUNCTION("""COMPUTED_VALUE"""),459.46)</f>
        <v>459.46</v>
      </c>
      <c r="D910" s="2">
        <f t="shared" si="4"/>
        <v>0.03314445044</v>
      </c>
    </row>
    <row r="911">
      <c r="A911" s="1" t="s">
        <v>5</v>
      </c>
      <c r="B911" s="3">
        <f>IFERROR(__xludf.DUMMYFUNCTION("""COMPUTED_VALUE"""),45932.66666666667)</f>
        <v>45932.66667</v>
      </c>
      <c r="C911" s="2">
        <f>IFERROR(__xludf.DUMMYFUNCTION("""COMPUTED_VALUE"""),436.0)</f>
        <v>436</v>
      </c>
      <c r="D911" s="2">
        <f t="shared" si="4"/>
        <v>-0.05105993993</v>
      </c>
    </row>
    <row r="912">
      <c r="A912" s="1" t="s">
        <v>5</v>
      </c>
      <c r="B912" s="3">
        <f>IFERROR(__xludf.DUMMYFUNCTION("""COMPUTED_VALUE"""),45933.66666666667)</f>
        <v>45933.66667</v>
      </c>
      <c r="C912" s="2">
        <f>IFERROR(__xludf.DUMMYFUNCTION("""COMPUTED_VALUE"""),429.83)</f>
        <v>429.83</v>
      </c>
      <c r="D912" s="2">
        <f t="shared" si="4"/>
        <v>-0.01415137615</v>
      </c>
    </row>
    <row r="913">
      <c r="A913" s="1" t="s">
        <v>5</v>
      </c>
      <c r="B913" s="3">
        <f>IFERROR(__xludf.DUMMYFUNCTION("""COMPUTED_VALUE"""),45936.66666666667)</f>
        <v>45936.66667</v>
      </c>
      <c r="C913" s="2">
        <f>IFERROR(__xludf.DUMMYFUNCTION("""COMPUTED_VALUE"""),453.25)</f>
        <v>453.25</v>
      </c>
      <c r="D913" s="2">
        <f t="shared" si="4"/>
        <v>0.05448665752</v>
      </c>
    </row>
    <row r="914">
      <c r="A914" s="1" t="s">
        <v>5</v>
      </c>
      <c r="B914" s="3">
        <f>IFERROR(__xludf.DUMMYFUNCTION("""COMPUTED_VALUE"""),45937.66666666667)</f>
        <v>45937.66667</v>
      </c>
      <c r="C914" s="2">
        <f>IFERROR(__xludf.DUMMYFUNCTION("""COMPUTED_VALUE"""),433.09)</f>
        <v>433.09</v>
      </c>
      <c r="D914" s="2">
        <f t="shared" si="4"/>
        <v>-0.04447876448</v>
      </c>
    </row>
    <row r="915">
      <c r="A915" s="1" t="s">
        <v>5</v>
      </c>
      <c r="B915" s="3">
        <f>IFERROR(__xludf.DUMMYFUNCTION("""COMPUTED_VALUE"""),45938.66666666667)</f>
        <v>45938.66667</v>
      </c>
      <c r="C915" s="2">
        <f>IFERROR(__xludf.DUMMYFUNCTION("""COMPUTED_VALUE"""),438.69)</f>
        <v>438.69</v>
      </c>
      <c r="D915" s="2">
        <f t="shared" si="4"/>
        <v>0.01293033781</v>
      </c>
    </row>
    <row r="916">
      <c r="A916" s="1" t="s">
        <v>5</v>
      </c>
      <c r="B916" s="3">
        <f>IFERROR(__xludf.DUMMYFUNCTION("""COMPUTED_VALUE"""),45939.66666666667)</f>
        <v>45939.66667</v>
      </c>
      <c r="C916" s="2">
        <f>IFERROR(__xludf.DUMMYFUNCTION("""COMPUTED_VALUE"""),435.54)</f>
        <v>435.54</v>
      </c>
      <c r="D916" s="2">
        <f t="shared" si="4"/>
        <v>-0.007180469124</v>
      </c>
    </row>
    <row r="917">
      <c r="A917" s="1" t="s">
        <v>5</v>
      </c>
      <c r="B917" s="3">
        <f>IFERROR(__xludf.DUMMYFUNCTION("""COMPUTED_VALUE"""),45940.66666666667)</f>
        <v>45940.66667</v>
      </c>
      <c r="C917" s="2">
        <f>IFERROR(__xludf.DUMMYFUNCTION("""COMPUTED_VALUE"""),413.49)</f>
        <v>413.49</v>
      </c>
      <c r="D917" s="2">
        <f t="shared" si="4"/>
        <v>-0.0506268081</v>
      </c>
    </row>
    <row r="918">
      <c r="A918" s="1" t="s">
        <v>5</v>
      </c>
      <c r="B918" s="3">
        <f>IFERROR(__xludf.DUMMYFUNCTION("""COMPUTED_VALUE"""),45943.66666666667)</f>
        <v>45943.66667</v>
      </c>
      <c r="C918" s="2">
        <f>IFERROR(__xludf.DUMMYFUNCTION("""COMPUTED_VALUE"""),435.9)</f>
        <v>435.9</v>
      </c>
      <c r="D918" s="2">
        <f t="shared" si="4"/>
        <v>0.05419719945</v>
      </c>
    </row>
    <row r="919">
      <c r="A919" s="1" t="s">
        <v>5</v>
      </c>
      <c r="B919" s="3">
        <f>IFERROR(__xludf.DUMMYFUNCTION("""COMPUTED_VALUE"""),45944.66666666667)</f>
        <v>45944.66667</v>
      </c>
      <c r="C919" s="2">
        <f>IFERROR(__xludf.DUMMYFUNCTION("""COMPUTED_VALUE"""),429.24)</f>
        <v>429.24</v>
      </c>
      <c r="D919" s="2">
        <f t="shared" si="4"/>
        <v>-0.01527873365</v>
      </c>
    </row>
    <row r="920">
      <c r="A920" s="1" t="s">
        <v>5</v>
      </c>
      <c r="B920" s="3">
        <f>IFERROR(__xludf.DUMMYFUNCTION("""COMPUTED_VALUE"""),45945.66666666667)</f>
        <v>45945.66667</v>
      </c>
      <c r="C920" s="2">
        <f>IFERROR(__xludf.DUMMYFUNCTION("""COMPUTED_VALUE"""),435.15)</f>
        <v>435.15</v>
      </c>
      <c r="D920" s="2">
        <f t="shared" si="4"/>
        <v>0.01376852111</v>
      </c>
    </row>
    <row r="921">
      <c r="A921" s="1" t="s">
        <v>5</v>
      </c>
      <c r="B921" s="3">
        <f>IFERROR(__xludf.DUMMYFUNCTION("""COMPUTED_VALUE"""),45946.66666666667)</f>
        <v>45946.66667</v>
      </c>
      <c r="C921" s="2">
        <f>IFERROR(__xludf.DUMMYFUNCTION("""COMPUTED_VALUE"""),428.75)</f>
        <v>428.75</v>
      </c>
      <c r="D921" s="2">
        <f t="shared" si="4"/>
        <v>-0.0147075721</v>
      </c>
    </row>
    <row r="922">
      <c r="A922" s="1" t="s">
        <v>5</v>
      </c>
      <c r="B922" s="3">
        <f>IFERROR(__xludf.DUMMYFUNCTION("""COMPUTED_VALUE"""),45947.66666666667)</f>
        <v>45947.66667</v>
      </c>
      <c r="C922" s="2">
        <f>IFERROR(__xludf.DUMMYFUNCTION("""COMPUTED_VALUE"""),439.31)</f>
        <v>439.31</v>
      </c>
      <c r="D922" s="2">
        <f t="shared" si="4"/>
        <v>0.02462973761</v>
      </c>
    </row>
    <row r="923">
      <c r="A923" s="1" t="s">
        <v>5</v>
      </c>
      <c r="B923" s="3">
        <f>IFERROR(__xludf.DUMMYFUNCTION("""COMPUTED_VALUE"""),45950.66666666667)</f>
        <v>45950.66667</v>
      </c>
      <c r="C923" s="2">
        <f>IFERROR(__xludf.DUMMYFUNCTION("""COMPUTED_VALUE"""),447.43)</f>
        <v>447.43</v>
      </c>
      <c r="D923" s="2">
        <f t="shared" si="4"/>
        <v>0.01848353099</v>
      </c>
    </row>
    <row r="924">
      <c r="A924" s="1" t="s">
        <v>5</v>
      </c>
      <c r="B924" s="3">
        <f>IFERROR(__xludf.DUMMYFUNCTION("""COMPUTED_VALUE"""),45951.66666666667)</f>
        <v>45951.66667</v>
      </c>
      <c r="C924" s="2">
        <f>IFERROR(__xludf.DUMMYFUNCTION("""COMPUTED_VALUE"""),442.6)</f>
        <v>442.6</v>
      </c>
      <c r="D924" s="2">
        <f t="shared" si="4"/>
        <v>-0.01079498469</v>
      </c>
    </row>
    <row r="925">
      <c r="A925" s="1" t="s">
        <v>5</v>
      </c>
      <c r="B925" s="3">
        <f>IFERROR(__xludf.DUMMYFUNCTION("""COMPUTED_VALUE"""),45952.66666666667)</f>
        <v>45952.66667</v>
      </c>
      <c r="C925" s="2">
        <f>IFERROR(__xludf.DUMMYFUNCTION("""COMPUTED_VALUE"""),438.97)</f>
        <v>438.97</v>
      </c>
      <c r="D925" s="2">
        <f t="shared" si="4"/>
        <v>-0.008201536376</v>
      </c>
    </row>
    <row r="926">
      <c r="A926" s="1" t="s">
        <v>5</v>
      </c>
      <c r="B926" s="3">
        <f>IFERROR(__xludf.DUMMYFUNCTION("""COMPUTED_VALUE"""),45953.66666666667)</f>
        <v>45953.66667</v>
      </c>
      <c r="C926" s="2">
        <f>IFERROR(__xludf.DUMMYFUNCTION("""COMPUTED_VALUE"""),448.98)</f>
        <v>448.98</v>
      </c>
      <c r="D926" s="2">
        <f t="shared" si="4"/>
        <v>0.02280338064</v>
      </c>
    </row>
    <row r="927">
      <c r="A927" s="1" t="s">
        <v>5</v>
      </c>
      <c r="B927" s="3">
        <f>IFERROR(__xludf.DUMMYFUNCTION("""COMPUTED_VALUE"""),45954.66666666667)</f>
        <v>45954.66667</v>
      </c>
      <c r="C927" s="2">
        <f>IFERROR(__xludf.DUMMYFUNCTION("""COMPUTED_VALUE"""),433.72)</f>
        <v>433.72</v>
      </c>
      <c r="D927" s="2">
        <f t="shared" si="4"/>
        <v>-0.03398815092</v>
      </c>
    </row>
    <row r="928">
      <c r="A928" s="1" t="s">
        <v>5</v>
      </c>
      <c r="B928" s="3">
        <f>IFERROR(__xludf.DUMMYFUNCTION("""COMPUTED_VALUE"""),45957.66666666667)</f>
        <v>45957.66667</v>
      </c>
      <c r="C928" s="2">
        <f>IFERROR(__xludf.DUMMYFUNCTION("""COMPUTED_VALUE"""),452.42)</f>
        <v>452.42</v>
      </c>
      <c r="D928" s="2">
        <f t="shared" si="4"/>
        <v>0.04311537397</v>
      </c>
    </row>
    <row r="929">
      <c r="A929" s="1" t="s">
        <v>5</v>
      </c>
      <c r="B929" s="3">
        <f>IFERROR(__xludf.DUMMYFUNCTION("""COMPUTED_VALUE"""),45958.66666666667)</f>
        <v>45958.66667</v>
      </c>
      <c r="C929" s="2">
        <f>IFERROR(__xludf.DUMMYFUNCTION("""COMPUTED_VALUE"""),460.55)</f>
        <v>460.55</v>
      </c>
      <c r="D929" s="2">
        <f t="shared" si="4"/>
        <v>0.01797002785</v>
      </c>
    </row>
    <row r="930">
      <c r="A930" s="1" t="s">
        <v>5</v>
      </c>
      <c r="B930" s="3">
        <f>IFERROR(__xludf.DUMMYFUNCTION("""COMPUTED_VALUE"""),45959.66666666667)</f>
        <v>45959.66667</v>
      </c>
      <c r="C930" s="2">
        <f>IFERROR(__xludf.DUMMYFUNCTION("""COMPUTED_VALUE"""),461.51)</f>
        <v>461.51</v>
      </c>
      <c r="D930" s="2">
        <f t="shared" si="4"/>
        <v>0.002084464228</v>
      </c>
    </row>
    <row r="931">
      <c r="A931" s="1" t="s">
        <v>5</v>
      </c>
      <c r="B931" s="3">
        <f>IFERROR(__xludf.DUMMYFUNCTION("""COMPUTED_VALUE"""),45960.66666666667)</f>
        <v>45960.66667</v>
      </c>
      <c r="C931" s="2">
        <f>IFERROR(__xludf.DUMMYFUNCTION("""COMPUTED_VALUE"""),440.1)</f>
        <v>440.1</v>
      </c>
      <c r="D931" s="2">
        <f t="shared" si="4"/>
        <v>-0.04639119412</v>
      </c>
    </row>
    <row r="932">
      <c r="A932" s="1" t="s">
        <v>5</v>
      </c>
      <c r="B932" s="3">
        <f>IFERROR(__xludf.DUMMYFUNCTION("""COMPUTED_VALUE"""),45961.66666666667)</f>
        <v>45961.66667</v>
      </c>
      <c r="C932" s="2">
        <f>IFERROR(__xludf.DUMMYFUNCTION("""COMPUTED_VALUE"""),456.56)</f>
        <v>456.56</v>
      </c>
      <c r="D932" s="2">
        <f t="shared" si="4"/>
        <v>0.03740059077</v>
      </c>
    </row>
    <row r="933">
      <c r="A933" s="1" t="s">
        <v>5</v>
      </c>
      <c r="B933" s="3">
        <f>IFERROR(__xludf.DUMMYFUNCTION("""COMPUTED_VALUE"""),45964.66666666667)</f>
        <v>45964.66667</v>
      </c>
      <c r="C933" s="2">
        <f>IFERROR(__xludf.DUMMYFUNCTION("""COMPUTED_VALUE"""),468.37)</f>
        <v>468.37</v>
      </c>
      <c r="D933" s="2">
        <f t="shared" si="4"/>
        <v>0.02586735588</v>
      </c>
    </row>
    <row r="934">
      <c r="A934" s="1" t="s">
        <v>5</v>
      </c>
      <c r="B934" s="3">
        <f>IFERROR(__xludf.DUMMYFUNCTION("""COMPUTED_VALUE"""),45965.66666666667)</f>
        <v>45965.66667</v>
      </c>
      <c r="C934" s="2">
        <f>IFERROR(__xludf.DUMMYFUNCTION("""COMPUTED_VALUE"""),444.26)</f>
        <v>444.26</v>
      </c>
      <c r="D934" s="2">
        <f t="shared" si="4"/>
        <v>-0.05147639687</v>
      </c>
    </row>
    <row r="935">
      <c r="A935" s="1" t="s">
        <v>5</v>
      </c>
      <c r="B935" s="3">
        <f>IFERROR(__xludf.DUMMYFUNCTION("""COMPUTED_VALUE"""),45966.66666666667)</f>
        <v>45966.66667</v>
      </c>
      <c r="C935" s="2">
        <f>IFERROR(__xludf.DUMMYFUNCTION("""COMPUTED_VALUE"""),462.07)</f>
        <v>462.07</v>
      </c>
      <c r="D935" s="2">
        <f t="shared" si="4"/>
        <v>0.04008913699</v>
      </c>
    </row>
    <row r="936">
      <c r="A936" s="1" t="s">
        <v>5</v>
      </c>
      <c r="B936" s="3">
        <f>IFERROR(__xludf.DUMMYFUNCTION("""COMPUTED_VALUE"""),45967.66666666667)</f>
        <v>45967.66667</v>
      </c>
      <c r="C936" s="2">
        <f>IFERROR(__xludf.DUMMYFUNCTION("""COMPUTED_VALUE"""),445.91)</f>
        <v>445.91</v>
      </c>
      <c r="D936" s="2">
        <f t="shared" si="4"/>
        <v>-0.03497305603</v>
      </c>
    </row>
    <row r="937">
      <c r="A937" s="1" t="s">
        <v>5</v>
      </c>
      <c r="B937" s="3">
        <f>IFERROR(__xludf.DUMMYFUNCTION("""COMPUTED_VALUE"""),45968.66666666667)</f>
        <v>45968.66667</v>
      </c>
      <c r="C937" s="2">
        <f>IFERROR(__xludf.DUMMYFUNCTION("""COMPUTED_VALUE"""),429.52)</f>
        <v>429.52</v>
      </c>
      <c r="D937" s="2">
        <f t="shared" si="4"/>
        <v>-0.03675629611</v>
      </c>
    </row>
    <row r="938">
      <c r="A938" s="1" t="s">
        <v>5</v>
      </c>
      <c r="B938" s="3">
        <f>IFERROR(__xludf.DUMMYFUNCTION("""COMPUTED_VALUE"""),45971.66666666667)</f>
        <v>45971.66667</v>
      </c>
      <c r="C938" s="2">
        <f>IFERROR(__xludf.DUMMYFUNCTION("""COMPUTED_VALUE"""),445.23)</f>
        <v>445.23</v>
      </c>
      <c r="D938" s="2">
        <f t="shared" si="4"/>
        <v>0.03657571242</v>
      </c>
    </row>
    <row r="939">
      <c r="A939" s="1" t="s">
        <v>5</v>
      </c>
      <c r="B939" s="3">
        <f>IFERROR(__xludf.DUMMYFUNCTION("""COMPUTED_VALUE"""),45972.66666666667)</f>
        <v>45972.66667</v>
      </c>
      <c r="C939" s="2">
        <f>IFERROR(__xludf.DUMMYFUNCTION("""COMPUTED_VALUE"""),439.62)</f>
        <v>439.62</v>
      </c>
      <c r="D939" s="2">
        <f t="shared" si="4"/>
        <v>-0.0126002291</v>
      </c>
    </row>
    <row r="940">
      <c r="A940" s="1" t="s">
        <v>5</v>
      </c>
      <c r="B940" s="3">
        <f>IFERROR(__xludf.DUMMYFUNCTION("""COMPUTED_VALUE"""),45973.66666666667)</f>
        <v>45973.66667</v>
      </c>
      <c r="C940" s="2">
        <f>IFERROR(__xludf.DUMMYFUNCTION("""COMPUTED_VALUE"""),430.6)</f>
        <v>430.6</v>
      </c>
      <c r="D940" s="2">
        <f t="shared" si="4"/>
        <v>-0.02051771985</v>
      </c>
    </row>
    <row r="941">
      <c r="A941" s="1" t="s">
        <v>5</v>
      </c>
      <c r="B941" s="3">
        <f>IFERROR(__xludf.DUMMYFUNCTION("""COMPUTED_VALUE"""),45974.66666666667)</f>
        <v>45974.66667</v>
      </c>
      <c r="C941" s="2">
        <f>IFERROR(__xludf.DUMMYFUNCTION("""COMPUTED_VALUE"""),401.99)</f>
        <v>401.99</v>
      </c>
      <c r="D941" s="2">
        <f t="shared" si="4"/>
        <v>-0.06644217371</v>
      </c>
    </row>
    <row r="942">
      <c r="A942" s="1" t="s">
        <v>5</v>
      </c>
      <c r="B942" s="3">
        <f>IFERROR(__xludf.DUMMYFUNCTION("""COMPUTED_VALUE"""),45975.66666666667)</f>
        <v>45975.66667</v>
      </c>
      <c r="C942" s="2">
        <f>IFERROR(__xludf.DUMMYFUNCTION("""COMPUTED_VALUE"""),404.35)</f>
        <v>404.35</v>
      </c>
      <c r="D942" s="2">
        <f t="shared" si="4"/>
        <v>0.005870792806</v>
      </c>
    </row>
    <row r="943">
      <c r="A943" s="1" t="s">
        <v>5</v>
      </c>
      <c r="B943" s="3">
        <f>IFERROR(__xludf.DUMMYFUNCTION("""COMPUTED_VALUE"""),45978.66666666667)</f>
        <v>45978.66667</v>
      </c>
      <c r="C943" s="2">
        <f>IFERROR(__xludf.DUMMYFUNCTION("""COMPUTED_VALUE"""),408.92)</f>
        <v>408.92</v>
      </c>
      <c r="D943" s="2">
        <f t="shared" si="4"/>
        <v>0.01130208977</v>
      </c>
    </row>
    <row r="944">
      <c r="A944" s="1" t="s">
        <v>5</v>
      </c>
      <c r="B944" s="3">
        <f>IFERROR(__xludf.DUMMYFUNCTION("""COMPUTED_VALUE"""),45979.66666666667)</f>
        <v>45979.66667</v>
      </c>
      <c r="C944" s="2">
        <f>IFERROR(__xludf.DUMMYFUNCTION("""COMPUTED_VALUE"""),401.25)</f>
        <v>401.25</v>
      </c>
      <c r="D944" s="2">
        <f t="shared" si="4"/>
        <v>-0.01875672503</v>
      </c>
    </row>
    <row r="945">
      <c r="A945" s="1" t="s">
        <v>5</v>
      </c>
      <c r="B945" s="3">
        <f>IFERROR(__xludf.DUMMYFUNCTION("""COMPUTED_VALUE"""),45980.66666666667)</f>
        <v>45980.66667</v>
      </c>
      <c r="C945" s="2">
        <f>IFERROR(__xludf.DUMMYFUNCTION("""COMPUTED_VALUE"""),403.99)</f>
        <v>403.99</v>
      </c>
      <c r="D945" s="2">
        <f t="shared" si="4"/>
        <v>0.006828660436</v>
      </c>
    </row>
    <row r="946">
      <c r="A946" s="1" t="s">
        <v>5</v>
      </c>
      <c r="B946" s="3">
        <f>IFERROR(__xludf.DUMMYFUNCTION("""COMPUTED_VALUE"""),45981.66666666667)</f>
        <v>45981.66667</v>
      </c>
      <c r="C946" s="2">
        <f>IFERROR(__xludf.DUMMYFUNCTION("""COMPUTED_VALUE"""),395.23)</f>
        <v>395.23</v>
      </c>
      <c r="D946" s="2">
        <f t="shared" si="4"/>
        <v>-0.02168370504</v>
      </c>
    </row>
    <row r="947">
      <c r="A947" s="1" t="s">
        <v>5</v>
      </c>
      <c r="B947" s="3">
        <f>IFERROR(__xludf.DUMMYFUNCTION("""COMPUTED_VALUE"""),45982.66666666667)</f>
        <v>45982.66667</v>
      </c>
      <c r="C947" s="2">
        <f>IFERROR(__xludf.DUMMYFUNCTION("""COMPUTED_VALUE"""),391.09)</f>
        <v>391.09</v>
      </c>
      <c r="D947" s="2">
        <f t="shared" si="4"/>
        <v>-0.01047491334</v>
      </c>
    </row>
    <row r="948">
      <c r="A948" s="1" t="s">
        <v>5</v>
      </c>
      <c r="B948" s="3">
        <f>IFERROR(__xludf.DUMMYFUNCTION("""COMPUTED_VALUE"""),45985.66666666667)</f>
        <v>45985.66667</v>
      </c>
      <c r="C948" s="2">
        <f>IFERROR(__xludf.DUMMYFUNCTION("""COMPUTED_VALUE"""),417.78)</f>
        <v>417.78</v>
      </c>
      <c r="D948" s="2">
        <f t="shared" si="4"/>
        <v>0.06824516096</v>
      </c>
    </row>
    <row r="949">
      <c r="A949" s="1" t="s">
        <v>5</v>
      </c>
      <c r="B949" s="3">
        <f>IFERROR(__xludf.DUMMYFUNCTION("""COMPUTED_VALUE"""),45986.66666666667)</f>
        <v>45986.66667</v>
      </c>
      <c r="C949" s="2">
        <f>IFERROR(__xludf.DUMMYFUNCTION("""COMPUTED_VALUE"""),419.4)</f>
        <v>419.4</v>
      </c>
      <c r="D949" s="2">
        <f t="shared" si="4"/>
        <v>0.003877638949</v>
      </c>
    </row>
    <row r="950">
      <c r="A950" s="1" t="s">
        <v>5</v>
      </c>
      <c r="B950" s="3">
        <f>IFERROR(__xludf.DUMMYFUNCTION("""COMPUTED_VALUE"""),45987.66666666667)</f>
        <v>45987.66667</v>
      </c>
      <c r="C950" s="2">
        <f>IFERROR(__xludf.DUMMYFUNCTION("""COMPUTED_VALUE"""),426.58)</f>
        <v>426.58</v>
      </c>
      <c r="D950" s="2">
        <f t="shared" si="4"/>
        <v>0.0171196948</v>
      </c>
    </row>
    <row r="951">
      <c r="A951" s="1" t="s">
        <v>5</v>
      </c>
      <c r="B951" s="3">
        <f>IFERROR(__xludf.DUMMYFUNCTION("""COMPUTED_VALUE"""),45989.54513888889)</f>
        <v>45989.54514</v>
      </c>
      <c r="C951" s="2">
        <f>IFERROR(__xludf.DUMMYFUNCTION("""COMPUTED_VALUE"""),430.17)</f>
        <v>430.17</v>
      </c>
      <c r="D951" s="2">
        <f t="shared" si="4"/>
        <v>0.008415771954</v>
      </c>
    </row>
    <row r="952">
      <c r="A952" s="1" t="s">
        <v>5</v>
      </c>
      <c r="B952" s="3">
        <f>IFERROR(__xludf.DUMMYFUNCTION("""COMPUTED_VALUE"""),45992.66666666667)</f>
        <v>45992.66667</v>
      </c>
      <c r="C952" s="2">
        <f>IFERROR(__xludf.DUMMYFUNCTION("""COMPUTED_VALUE"""),430.14)</f>
        <v>430.14</v>
      </c>
      <c r="D952" s="2">
        <f t="shared" si="4"/>
        <v>-0.00006973987028</v>
      </c>
    </row>
    <row r="953">
      <c r="A953" s="1" t="s">
        <v>5</v>
      </c>
      <c r="B953" s="3">
        <f>IFERROR(__xludf.DUMMYFUNCTION("""COMPUTED_VALUE"""),45993.66666666667)</f>
        <v>45993.66667</v>
      </c>
      <c r="C953" s="2">
        <f>IFERROR(__xludf.DUMMYFUNCTION("""COMPUTED_VALUE"""),429.24)</f>
        <v>429.24</v>
      </c>
      <c r="D953" s="2">
        <f t="shared" si="4"/>
        <v>-0.002092342028</v>
      </c>
    </row>
    <row r="954">
      <c r="A954" s="1" t="s">
        <v>5</v>
      </c>
      <c r="B954" s="3">
        <f>IFERROR(__xludf.DUMMYFUNCTION("""COMPUTED_VALUE"""),45994.66666666667)</f>
        <v>45994.66667</v>
      </c>
      <c r="C954" s="2">
        <f>IFERROR(__xludf.DUMMYFUNCTION("""COMPUTED_VALUE"""),446.74)</f>
        <v>446.74</v>
      </c>
      <c r="D954" s="2">
        <f t="shared" si="4"/>
        <v>0.04076973255</v>
      </c>
    </row>
    <row r="955">
      <c r="A955" s="1" t="s">
        <v>5</v>
      </c>
      <c r="B955" s="3">
        <f>IFERROR(__xludf.DUMMYFUNCTION("""COMPUTED_VALUE"""),45995.66666666667)</f>
        <v>45995.66667</v>
      </c>
      <c r="C955" s="2">
        <f>IFERROR(__xludf.DUMMYFUNCTION("""COMPUTED_VALUE"""),454.53)</f>
        <v>454.53</v>
      </c>
      <c r="D955" s="2">
        <f t="shared" si="4"/>
        <v>0.01743743564</v>
      </c>
    </row>
    <row r="956">
      <c r="A956" s="1" t="s">
        <v>5</v>
      </c>
      <c r="B956" s="3">
        <f>IFERROR(__xludf.DUMMYFUNCTION("""COMPUTED_VALUE"""),45996.66666666667)</f>
        <v>45996.66667</v>
      </c>
      <c r="C956" s="2">
        <f>IFERROR(__xludf.DUMMYFUNCTION("""COMPUTED_VALUE"""),455.0)</f>
        <v>455</v>
      </c>
      <c r="D956" s="2">
        <f t="shared" si="4"/>
        <v>0.001034035157</v>
      </c>
    </row>
    <row r="957">
      <c r="A957" s="1" t="s">
        <v>5</v>
      </c>
      <c r="B957" s="3">
        <f>IFERROR(__xludf.DUMMYFUNCTION("""COMPUTED_VALUE"""),45999.66666666667)</f>
        <v>45999.66667</v>
      </c>
      <c r="C957" s="2">
        <f>IFERROR(__xludf.DUMMYFUNCTION("""COMPUTED_VALUE"""),439.58)</f>
        <v>439.58</v>
      </c>
      <c r="D957" s="2">
        <f t="shared" si="4"/>
        <v>-0.03389010989</v>
      </c>
    </row>
    <row r="958">
      <c r="A958" s="1" t="s">
        <v>5</v>
      </c>
      <c r="B958" s="3">
        <f>IFERROR(__xludf.DUMMYFUNCTION("""COMPUTED_VALUE"""),46000.66666666667)</f>
        <v>46000.66667</v>
      </c>
      <c r="C958" s="2">
        <f>IFERROR(__xludf.DUMMYFUNCTION("""COMPUTED_VALUE"""),445.17)</f>
        <v>445.17</v>
      </c>
      <c r="D958" s="2">
        <f t="shared" si="4"/>
        <v>0.01271668411</v>
      </c>
    </row>
    <row r="959">
      <c r="A959" s="1" t="s">
        <v>5</v>
      </c>
      <c r="B959" s="3">
        <f>IFERROR(__xludf.DUMMYFUNCTION("""COMPUTED_VALUE"""),46001.66666666667)</f>
        <v>46001.66667</v>
      </c>
      <c r="C959" s="2">
        <f>IFERROR(__xludf.DUMMYFUNCTION("""COMPUTED_VALUE"""),451.45)</f>
        <v>451.45</v>
      </c>
      <c r="D959" s="2">
        <f t="shared" si="4"/>
        <v>0.01410697037</v>
      </c>
    </row>
    <row r="960">
      <c r="A960" s="1" t="s">
        <v>5</v>
      </c>
      <c r="B960" s="3">
        <f>IFERROR(__xludf.DUMMYFUNCTION("""COMPUTED_VALUE"""),46002.66666666667)</f>
        <v>46002.66667</v>
      </c>
      <c r="C960" s="2">
        <f>IFERROR(__xludf.DUMMYFUNCTION("""COMPUTED_VALUE"""),446.89)</f>
        <v>446.89</v>
      </c>
      <c r="D960" s="2">
        <f t="shared" si="4"/>
        <v>-0.01010078636</v>
      </c>
    </row>
    <row r="961">
      <c r="A961" s="1" t="s">
        <v>5</v>
      </c>
      <c r="B961" s="3">
        <f>IFERROR(__xludf.DUMMYFUNCTION("""COMPUTED_VALUE"""),46003.66666666667)</f>
        <v>46003.66667</v>
      </c>
      <c r="C961" s="2">
        <f>IFERROR(__xludf.DUMMYFUNCTION("""COMPUTED_VALUE"""),458.96)</f>
        <v>458.96</v>
      </c>
      <c r="D961" s="2">
        <f t="shared" si="4"/>
        <v>0.02700888362</v>
      </c>
    </row>
    <row r="962">
      <c r="A962" s="1" t="s">
        <v>5</v>
      </c>
      <c r="B962" s="3">
        <f>IFERROR(__xludf.DUMMYFUNCTION("""COMPUTED_VALUE"""),46006.66666666667)</f>
        <v>46006.66667</v>
      </c>
      <c r="C962" s="2">
        <f>IFERROR(__xludf.DUMMYFUNCTION("""COMPUTED_VALUE"""),475.31)</f>
        <v>475.31</v>
      </c>
      <c r="D962" s="2">
        <f t="shared" si="4"/>
        <v>0.03562401952</v>
      </c>
    </row>
    <row r="963">
      <c r="A963" s="1" t="s">
        <v>5</v>
      </c>
      <c r="B963" s="3">
        <f>IFERROR(__xludf.DUMMYFUNCTION("""COMPUTED_VALUE"""),46007.66666666667)</f>
        <v>46007.66667</v>
      </c>
      <c r="C963" s="2">
        <f>IFERROR(__xludf.DUMMYFUNCTION("""COMPUTED_VALUE"""),489.88)</f>
        <v>489.88</v>
      </c>
      <c r="D963" s="2">
        <f t="shared" si="4"/>
        <v>0.03065367865</v>
      </c>
    </row>
    <row r="964">
      <c r="A964" s="1" t="s">
        <v>5</v>
      </c>
      <c r="B964" s="3">
        <f>IFERROR(__xludf.DUMMYFUNCTION("""COMPUTED_VALUE"""),46008.66666666667)</f>
        <v>46008.66667</v>
      </c>
      <c r="C964" s="2">
        <f>IFERROR(__xludf.DUMMYFUNCTION("""COMPUTED_VALUE"""),467.26)</f>
        <v>467.26</v>
      </c>
      <c r="D964" s="2">
        <f t="shared" si="4"/>
        <v>-0.04617457336</v>
      </c>
    </row>
    <row r="965">
      <c r="A965" s="1" t="s">
        <v>5</v>
      </c>
      <c r="B965" s="3">
        <f>IFERROR(__xludf.DUMMYFUNCTION("""COMPUTED_VALUE"""),46009.66666666667)</f>
        <v>46009.66667</v>
      </c>
      <c r="C965" s="2">
        <f>IFERROR(__xludf.DUMMYFUNCTION("""COMPUTED_VALUE"""),483.37)</f>
        <v>483.37</v>
      </c>
      <c r="D965" s="2">
        <f t="shared" si="4"/>
        <v>0.03447759277</v>
      </c>
    </row>
    <row r="966">
      <c r="A966" s="1" t="s">
        <v>5</v>
      </c>
      <c r="B966" s="3">
        <f>IFERROR(__xludf.DUMMYFUNCTION("""COMPUTED_VALUE"""),46010.66666666667)</f>
        <v>46010.66667</v>
      </c>
      <c r="C966" s="2">
        <f>IFERROR(__xludf.DUMMYFUNCTION("""COMPUTED_VALUE"""),481.2)</f>
        <v>481.2</v>
      </c>
      <c r="D966" s="2">
        <f t="shared" si="4"/>
        <v>-0.004489314604</v>
      </c>
    </row>
    <row r="967">
      <c r="A967" s="1" t="s">
        <v>5</v>
      </c>
      <c r="B967" s="3">
        <f>IFERROR(__xludf.DUMMYFUNCTION("""COMPUTED_VALUE"""),46013.66666666667)</f>
        <v>46013.66667</v>
      </c>
      <c r="C967" s="2">
        <f>IFERROR(__xludf.DUMMYFUNCTION("""COMPUTED_VALUE"""),488.73)</f>
        <v>488.73</v>
      </c>
      <c r="D967" s="2">
        <f t="shared" si="4"/>
        <v>0.01564837905</v>
      </c>
    </row>
    <row r="968">
      <c r="A968" s="1" t="s">
        <v>5</v>
      </c>
      <c r="B968" s="3">
        <f>IFERROR(__xludf.DUMMYFUNCTION("""COMPUTED_VALUE"""),46014.66666666667)</f>
        <v>46014.66667</v>
      </c>
      <c r="C968" s="2">
        <f>IFERROR(__xludf.DUMMYFUNCTION("""COMPUTED_VALUE"""),485.56)</f>
        <v>485.56</v>
      </c>
      <c r="D968" s="2">
        <f t="shared" si="4"/>
        <v>-0.006486198924</v>
      </c>
    </row>
    <row r="969">
      <c r="A969" s="1" t="s">
        <v>5</v>
      </c>
      <c r="B969" s="3">
        <f>IFERROR(__xludf.DUMMYFUNCTION("""COMPUTED_VALUE"""),46015.54513888889)</f>
        <v>46015.54514</v>
      </c>
      <c r="C969" s="2">
        <f>IFERROR(__xludf.DUMMYFUNCTION("""COMPUTED_VALUE"""),485.4)</f>
        <v>485.4</v>
      </c>
      <c r="D969" s="2">
        <f t="shared" si="4"/>
        <v>-0.0003295164346</v>
      </c>
    </row>
    <row r="970">
      <c r="A970" s="1" t="s">
        <v>5</v>
      </c>
      <c r="B970" s="3">
        <f>IFERROR(__xludf.DUMMYFUNCTION("""COMPUTED_VALUE"""),46017.66666666667)</f>
        <v>46017.66667</v>
      </c>
      <c r="C970" s="2">
        <f>IFERROR(__xludf.DUMMYFUNCTION("""COMPUTED_VALUE"""),475.19)</f>
        <v>475.19</v>
      </c>
      <c r="D970" s="2">
        <f t="shared" si="4"/>
        <v>-0.0210341986</v>
      </c>
    </row>
    <row r="971">
      <c r="A971" s="1" t="s">
        <v>5</v>
      </c>
      <c r="B971" s="3">
        <f>IFERROR(__xludf.DUMMYFUNCTION("""COMPUTED_VALUE"""),46020.66666666667)</f>
        <v>46020.66667</v>
      </c>
      <c r="C971" s="2">
        <f>IFERROR(__xludf.DUMMYFUNCTION("""COMPUTED_VALUE"""),459.64)</f>
        <v>459.64</v>
      </c>
      <c r="D971" s="2">
        <f t="shared" si="4"/>
        <v>-0.0327237526</v>
      </c>
    </row>
    <row r="972">
      <c r="A972" s="1" t="s">
        <v>5</v>
      </c>
      <c r="B972" s="3">
        <f>IFERROR(__xludf.DUMMYFUNCTION("""COMPUTED_VALUE"""),46021.66666666667)</f>
        <v>46021.66667</v>
      </c>
      <c r="C972" s="2">
        <f>IFERROR(__xludf.DUMMYFUNCTION("""COMPUTED_VALUE"""),454.43)</f>
        <v>454.43</v>
      </c>
      <c r="D972" s="2">
        <f t="shared" si="4"/>
        <v>-0.01133495779</v>
      </c>
    </row>
    <row r="973">
      <c r="A973" s="1" t="s">
        <v>5</v>
      </c>
      <c r="B973" s="3">
        <f>IFERROR(__xludf.DUMMYFUNCTION("""COMPUTED_VALUE"""),46022.66666666667)</f>
        <v>46022.66667</v>
      </c>
      <c r="C973" s="2">
        <f>IFERROR(__xludf.DUMMYFUNCTION("""COMPUTED_VALUE"""),449.72)</f>
        <v>449.72</v>
      </c>
      <c r="D973" s="2">
        <f t="shared" si="4"/>
        <v>-0.01036463262</v>
      </c>
    </row>
    <row r="974">
      <c r="A974" s="1" t="s">
        <v>5</v>
      </c>
      <c r="B974" s="3">
        <f>IFERROR(__xludf.DUMMYFUNCTION("""COMPUTED_VALUE"""),46024.66666666667)</f>
        <v>46024.66667</v>
      </c>
      <c r="C974" s="2">
        <f>IFERROR(__xludf.DUMMYFUNCTION("""COMPUTED_VALUE"""),438.07)</f>
        <v>438.07</v>
      </c>
      <c r="D974" s="2">
        <f t="shared" si="4"/>
        <v>-0.02590500756</v>
      </c>
    </row>
    <row r="975">
      <c r="A975" s="1" t="s">
        <v>5</v>
      </c>
      <c r="B975" s="3">
        <f>IFERROR(__xludf.DUMMYFUNCTION("""COMPUTED_VALUE"""),46027.66666666667)</f>
        <v>46027.66667</v>
      </c>
      <c r="C975" s="2">
        <f>IFERROR(__xludf.DUMMYFUNCTION("""COMPUTED_VALUE"""),451.67)</f>
        <v>451.67</v>
      </c>
      <c r="D975" s="2">
        <f t="shared" si="4"/>
        <v>0.03104526674</v>
      </c>
    </row>
    <row r="976">
      <c r="A976" s="1" t="s">
        <v>5</v>
      </c>
      <c r="B976" s="3">
        <f>IFERROR(__xludf.DUMMYFUNCTION("""COMPUTED_VALUE"""),46028.66666666667)</f>
        <v>46028.66667</v>
      </c>
      <c r="C976" s="2">
        <f>IFERROR(__xludf.DUMMYFUNCTION("""COMPUTED_VALUE"""),432.96)</f>
        <v>432.96</v>
      </c>
      <c r="D976" s="2">
        <f t="shared" si="4"/>
        <v>-0.04142404853</v>
      </c>
    </row>
    <row r="977">
      <c r="A977" s="1" t="s">
        <v>5</v>
      </c>
      <c r="B977" s="3">
        <f>IFERROR(__xludf.DUMMYFUNCTION("""COMPUTED_VALUE"""),46029.66666666667)</f>
        <v>46029.66667</v>
      </c>
      <c r="C977" s="2">
        <f>IFERROR(__xludf.DUMMYFUNCTION("""COMPUTED_VALUE"""),431.41)</f>
        <v>431.41</v>
      </c>
      <c r="D977" s="2">
        <f t="shared" si="4"/>
        <v>-0.003580007391</v>
      </c>
    </row>
    <row r="978">
      <c r="A978" s="1" t="s">
        <v>5</v>
      </c>
      <c r="B978" s="3">
        <f>IFERROR(__xludf.DUMMYFUNCTION("""COMPUTED_VALUE"""),46030.66666666667)</f>
        <v>46030.66667</v>
      </c>
      <c r="C978" s="2">
        <f>IFERROR(__xludf.DUMMYFUNCTION("""COMPUTED_VALUE"""),435.8)</f>
        <v>435.8</v>
      </c>
      <c r="D978" s="2">
        <f t="shared" si="4"/>
        <v>0.01017593473</v>
      </c>
    </row>
    <row r="979">
      <c r="A979" s="1" t="s">
        <v>5</v>
      </c>
      <c r="B979" s="3">
        <f>IFERROR(__xludf.DUMMYFUNCTION("""COMPUTED_VALUE"""),46031.66666666667)</f>
        <v>46031.66667</v>
      </c>
      <c r="C979" s="2">
        <f>IFERROR(__xludf.DUMMYFUNCTION("""COMPUTED_VALUE"""),445.01)</f>
        <v>445.01</v>
      </c>
      <c r="D979" s="2">
        <f t="shared" si="4"/>
        <v>0.0211335475</v>
      </c>
    </row>
    <row r="980">
      <c r="A980" s="1" t="s">
        <v>5</v>
      </c>
      <c r="B980" s="3">
        <f>IFERROR(__xludf.DUMMYFUNCTION("""COMPUTED_VALUE"""),46034.66666666667)</f>
        <v>46034.66667</v>
      </c>
      <c r="C980" s="2">
        <f>IFERROR(__xludf.DUMMYFUNCTION("""COMPUTED_VALUE"""),448.96)</f>
        <v>448.96</v>
      </c>
      <c r="D980" s="2">
        <f t="shared" si="4"/>
        <v>0.008876205029</v>
      </c>
    </row>
    <row r="981">
      <c r="A981" s="1" t="s">
        <v>5</v>
      </c>
      <c r="B981" s="3">
        <f>IFERROR(__xludf.DUMMYFUNCTION("""COMPUTED_VALUE"""),46035.66666666667)</f>
        <v>46035.66667</v>
      </c>
      <c r="C981" s="2">
        <f>IFERROR(__xludf.DUMMYFUNCTION("""COMPUTED_VALUE"""),447.2)</f>
        <v>447.2</v>
      </c>
      <c r="D981" s="2">
        <f t="shared" si="4"/>
        <v>-0.003920171062</v>
      </c>
    </row>
    <row r="982">
      <c r="A982" s="1" t="s">
        <v>5</v>
      </c>
      <c r="B982" s="3">
        <f>IFERROR(__xludf.DUMMYFUNCTION("""COMPUTED_VALUE"""),46036.66666666667)</f>
        <v>46036.66667</v>
      </c>
      <c r="C982" s="2">
        <f>IFERROR(__xludf.DUMMYFUNCTION("""COMPUTED_VALUE"""),439.2)</f>
        <v>439.2</v>
      </c>
      <c r="D982" s="2">
        <f t="shared" si="4"/>
        <v>-0.01788908766</v>
      </c>
    </row>
    <row r="983">
      <c r="A983" s="1" t="s">
        <v>5</v>
      </c>
      <c r="B983" s="3">
        <f>IFERROR(__xludf.DUMMYFUNCTION("""COMPUTED_VALUE"""),46037.66666666667)</f>
        <v>46037.66667</v>
      </c>
      <c r="C983" s="2">
        <f>IFERROR(__xludf.DUMMYFUNCTION("""COMPUTED_VALUE"""),438.57)</f>
        <v>438.57</v>
      </c>
      <c r="D983" s="2">
        <f t="shared" si="4"/>
        <v>-0.00143442623</v>
      </c>
    </row>
    <row r="984">
      <c r="A984" s="1" t="s">
        <v>5</v>
      </c>
      <c r="B984" s="3">
        <f>IFERROR(__xludf.DUMMYFUNCTION("""COMPUTED_VALUE"""),46038.66666666667)</f>
        <v>46038.66667</v>
      </c>
      <c r="C984" s="2">
        <f>IFERROR(__xludf.DUMMYFUNCTION("""COMPUTED_VALUE"""),437.5)</f>
        <v>437.5</v>
      </c>
      <c r="D984" s="2">
        <f t="shared" si="4"/>
        <v>-0.002439747361</v>
      </c>
    </row>
    <row r="985">
      <c r="A985" s="1" t="s">
        <v>5</v>
      </c>
      <c r="B985" s="3">
        <f>IFERROR(__xludf.DUMMYFUNCTION("""COMPUTED_VALUE"""),46042.66666666667)</f>
        <v>46042.66667</v>
      </c>
      <c r="C985" s="2">
        <f>IFERROR(__xludf.DUMMYFUNCTION("""COMPUTED_VALUE"""),419.25)</f>
        <v>419.25</v>
      </c>
      <c r="D985" s="2">
        <f t="shared" si="4"/>
        <v>-0.04171428571</v>
      </c>
    </row>
    <row r="986">
      <c r="A986" s="1" t="s">
        <v>5</v>
      </c>
      <c r="B986" s="3">
        <f>IFERROR(__xludf.DUMMYFUNCTION("""COMPUTED_VALUE"""),46043.66666666667)</f>
        <v>46043.66667</v>
      </c>
      <c r="C986" s="2">
        <f>IFERROR(__xludf.DUMMYFUNCTION("""COMPUTED_VALUE"""),431.44)</f>
        <v>431.44</v>
      </c>
      <c r="D986" s="2">
        <f t="shared" si="4"/>
        <v>0.02907573047</v>
      </c>
    </row>
    <row r="987">
      <c r="A987" s="1" t="s">
        <v>5</v>
      </c>
      <c r="B987" s="3">
        <f>IFERROR(__xludf.DUMMYFUNCTION("""COMPUTED_VALUE"""),46044.66666666667)</f>
        <v>46044.66667</v>
      </c>
      <c r="C987" s="2">
        <f>IFERROR(__xludf.DUMMYFUNCTION("""COMPUTED_VALUE"""),449.36)</f>
        <v>449.36</v>
      </c>
      <c r="D987" s="2">
        <f t="shared" si="4"/>
        <v>0.04153532357</v>
      </c>
    </row>
    <row r="988">
      <c r="A988" s="1" t="s">
        <v>5</v>
      </c>
      <c r="B988" s="3">
        <f>IFERROR(__xludf.DUMMYFUNCTION("""COMPUTED_VALUE"""),46045.66666666667)</f>
        <v>46045.66667</v>
      </c>
      <c r="C988" s="2">
        <f>IFERROR(__xludf.DUMMYFUNCTION("""COMPUTED_VALUE"""),449.06)</f>
        <v>449.06</v>
      </c>
      <c r="D988" s="2">
        <f t="shared" si="4"/>
        <v>-0.0006676161652</v>
      </c>
    </row>
    <row r="989">
      <c r="A989" s="1" t="s">
        <v>5</v>
      </c>
      <c r="B989" s="3">
        <f>IFERROR(__xludf.DUMMYFUNCTION("""COMPUTED_VALUE"""),46048.66666666667)</f>
        <v>46048.66667</v>
      </c>
      <c r="C989" s="2">
        <f>IFERROR(__xludf.DUMMYFUNCTION("""COMPUTED_VALUE"""),435.2)</f>
        <v>435.2</v>
      </c>
      <c r="D989" s="2">
        <f t="shared" si="4"/>
        <v>-0.03086447245</v>
      </c>
    </row>
    <row r="990">
      <c r="A990" s="1" t="s">
        <v>5</v>
      </c>
      <c r="B990" s="3">
        <f>IFERROR(__xludf.DUMMYFUNCTION("""COMPUTED_VALUE"""),46049.66666666667)</f>
        <v>46049.66667</v>
      </c>
      <c r="C990" s="2">
        <f>IFERROR(__xludf.DUMMYFUNCTION("""COMPUTED_VALUE"""),430.9)</f>
        <v>430.9</v>
      </c>
      <c r="D990" s="2">
        <f t="shared" si="4"/>
        <v>-0.009880514706</v>
      </c>
    </row>
    <row r="991">
      <c r="A991" s="1" t="s">
        <v>5</v>
      </c>
      <c r="B991" s="3">
        <f>IFERROR(__xludf.DUMMYFUNCTION("""COMPUTED_VALUE"""),46050.66666666667)</f>
        <v>46050.66667</v>
      </c>
      <c r="C991" s="2">
        <f>IFERROR(__xludf.DUMMYFUNCTION("""COMPUTED_VALUE"""),431.46)</f>
        <v>431.46</v>
      </c>
      <c r="D991" s="2">
        <f t="shared" si="4"/>
        <v>0.001299605477</v>
      </c>
    </row>
    <row r="992">
      <c r="A992" s="1" t="s">
        <v>5</v>
      </c>
      <c r="B992" s="3">
        <f>IFERROR(__xludf.DUMMYFUNCTION("""COMPUTED_VALUE"""),46051.66666666667)</f>
        <v>46051.66667</v>
      </c>
      <c r="C992" s="2">
        <f>IFERROR(__xludf.DUMMYFUNCTION("""COMPUTED_VALUE"""),416.56)</f>
        <v>416.56</v>
      </c>
      <c r="D992" s="2">
        <f t="shared" si="4"/>
        <v>-0.03453390813</v>
      </c>
    </row>
    <row r="993">
      <c r="A993" s="1" t="s">
        <v>5</v>
      </c>
      <c r="B993" s="3">
        <f>IFERROR(__xludf.DUMMYFUNCTION("""COMPUTED_VALUE"""),46052.66666666667)</f>
        <v>46052.66667</v>
      </c>
      <c r="C993" s="2">
        <f>IFERROR(__xludf.DUMMYFUNCTION("""COMPUTED_VALUE"""),430.41)</f>
        <v>430.41</v>
      </c>
      <c r="D993" s="2">
        <f t="shared" si="4"/>
        <v>0.03324851162</v>
      </c>
    </row>
    <row r="994">
      <c r="A994" s="1" t="s">
        <v>5</v>
      </c>
      <c r="B994" s="3">
        <f>IFERROR(__xludf.DUMMYFUNCTION("""COMPUTED_VALUE"""),46055.66666666667)</f>
        <v>46055.66667</v>
      </c>
      <c r="C994" s="2">
        <f>IFERROR(__xludf.DUMMYFUNCTION("""COMPUTED_VALUE"""),421.81)</f>
        <v>421.81</v>
      </c>
      <c r="D994" s="2">
        <f t="shared" si="4"/>
        <v>-0.0199809484</v>
      </c>
    </row>
    <row r="995">
      <c r="A995" s="1" t="s">
        <v>5</v>
      </c>
      <c r="B995" s="3">
        <f>IFERROR(__xludf.DUMMYFUNCTION("""COMPUTED_VALUE"""),46056.66666666667)</f>
        <v>46056.66667</v>
      </c>
      <c r="C995" s="2">
        <f>IFERROR(__xludf.DUMMYFUNCTION("""COMPUTED_VALUE"""),421.96)</f>
        <v>421.96</v>
      </c>
      <c r="D995" s="2">
        <f t="shared" si="4"/>
        <v>0.0003556103459</v>
      </c>
    </row>
    <row r="996">
      <c r="A996" s="1" t="s">
        <v>5</v>
      </c>
      <c r="B996" s="3">
        <f>IFERROR(__xludf.DUMMYFUNCTION("""COMPUTED_VALUE"""),46057.66666666667)</f>
        <v>46057.66667</v>
      </c>
      <c r="C996" s="2">
        <f>IFERROR(__xludf.DUMMYFUNCTION("""COMPUTED_VALUE"""),406.01)</f>
        <v>406.01</v>
      </c>
      <c r="D996" s="2">
        <f t="shared" si="4"/>
        <v>-0.03779979145</v>
      </c>
    </row>
    <row r="997">
      <c r="A997" s="1" t="s">
        <v>5</v>
      </c>
      <c r="B997" s="3">
        <f>IFERROR(__xludf.DUMMYFUNCTION("""COMPUTED_VALUE"""),46058.66666666667)</f>
        <v>46058.66667</v>
      </c>
      <c r="C997" s="2">
        <f>IFERROR(__xludf.DUMMYFUNCTION("""COMPUTED_VALUE"""),397.21)</f>
        <v>397.21</v>
      </c>
      <c r="D997" s="2">
        <f t="shared" si="4"/>
        <v>-0.021674343</v>
      </c>
    </row>
    <row r="998">
      <c r="A998" s="1" t="s">
        <v>5</v>
      </c>
      <c r="B998" s="3">
        <f>IFERROR(__xludf.DUMMYFUNCTION("""COMPUTED_VALUE"""),46059.66666666667)</f>
        <v>46059.66667</v>
      </c>
      <c r="C998" s="2">
        <f>IFERROR(__xludf.DUMMYFUNCTION("""COMPUTED_VALUE"""),411.11)</f>
        <v>411.11</v>
      </c>
      <c r="D998" s="2">
        <f t="shared" si="4"/>
        <v>0.03499408373</v>
      </c>
    </row>
    <row r="999">
      <c r="A999" s="1" t="s">
        <v>5</v>
      </c>
      <c r="B999" s="3">
        <f>IFERROR(__xludf.DUMMYFUNCTION("""COMPUTED_VALUE"""),46062.66666666667)</f>
        <v>46062.66667</v>
      </c>
      <c r="C999" s="2">
        <f>IFERROR(__xludf.DUMMYFUNCTION("""COMPUTED_VALUE"""),417.32)</f>
        <v>417.32</v>
      </c>
      <c r="D999" s="2">
        <f t="shared" si="4"/>
        <v>0.01510544623</v>
      </c>
    </row>
    <row r="1000">
      <c r="A1000" s="1" t="s">
        <v>5</v>
      </c>
      <c r="B1000" s="3">
        <f>IFERROR(__xludf.DUMMYFUNCTION("""COMPUTED_VALUE"""),46063.66666666667)</f>
        <v>46063.66667</v>
      </c>
      <c r="C1000" s="2">
        <f>IFERROR(__xludf.DUMMYFUNCTION("""COMPUTED_VALUE"""),425.21)</f>
        <v>425.21</v>
      </c>
      <c r="D1000" s="2">
        <f t="shared" si="4"/>
        <v>0.01890635484</v>
      </c>
    </row>
    <row r="1001">
      <c r="A1001" s="1" t="s">
        <v>5</v>
      </c>
      <c r="B1001" s="3">
        <f>IFERROR(__xludf.DUMMYFUNCTION("""COMPUTED_VALUE"""),46064.66666666667)</f>
        <v>46064.66667</v>
      </c>
      <c r="C1001" s="2">
        <f>IFERROR(__xludf.DUMMYFUNCTION("""COMPUTED_VALUE"""),428.27)</f>
        <v>428.27</v>
      </c>
      <c r="D1001" s="2">
        <f t="shared" si="4"/>
        <v>0.00719644411</v>
      </c>
    </row>
    <row r="1002">
      <c r="A1002" s="1" t="s">
        <v>5</v>
      </c>
      <c r="B1002" s="3">
        <f>IFERROR(__xludf.DUMMYFUNCTION("""COMPUTED_VALUE"""),46065.66666666667)</f>
        <v>46065.66667</v>
      </c>
      <c r="C1002" s="2">
        <f>IFERROR(__xludf.DUMMYFUNCTION("""COMPUTED_VALUE"""),417.07)</f>
        <v>417.07</v>
      </c>
      <c r="D1002" s="2">
        <f t="shared" si="4"/>
        <v>-0.02615172671</v>
      </c>
    </row>
    <row r="1003">
      <c r="A1003" s="1" t="s">
        <v>5</v>
      </c>
      <c r="B1003" s="3">
        <f>IFERROR(__xludf.DUMMYFUNCTION("""COMPUTED_VALUE"""),46066.66666666667)</f>
        <v>46066.66667</v>
      </c>
      <c r="C1003" s="2">
        <f>IFERROR(__xludf.DUMMYFUNCTION("""COMPUTED_VALUE"""),417.44)</f>
        <v>417.44</v>
      </c>
      <c r="D1003" s="2">
        <f t="shared" si="4"/>
        <v>0.0008871412473</v>
      </c>
    </row>
    <row r="1004">
      <c r="A1004" s="1" t="s">
        <v>5</v>
      </c>
      <c r="B1004" s="3">
        <f>IFERROR(__xludf.DUMMYFUNCTION("""COMPUTED_VALUE"""),46070.66666666667)</f>
        <v>46070.66667</v>
      </c>
      <c r="C1004" s="2">
        <f>IFERROR(__xludf.DUMMYFUNCTION("""COMPUTED_VALUE"""),410.63)</f>
        <v>410.63</v>
      </c>
      <c r="D1004" s="2">
        <f t="shared" si="4"/>
        <v>-0.01631372173</v>
      </c>
    </row>
    <row r="1005">
      <c r="A1005" s="1" t="s">
        <v>5</v>
      </c>
      <c r="B1005" s="3">
        <f>IFERROR(__xludf.DUMMYFUNCTION("""COMPUTED_VALUE"""),46071.66666666667)</f>
        <v>46071.66667</v>
      </c>
      <c r="C1005" s="2">
        <f>IFERROR(__xludf.DUMMYFUNCTION("""COMPUTED_VALUE"""),411.32)</f>
        <v>411.32</v>
      </c>
      <c r="D1005" s="2">
        <f t="shared" si="4"/>
        <v>0.001680344836</v>
      </c>
    </row>
    <row r="1006">
      <c r="A1006" s="1" t="s">
        <v>5</v>
      </c>
      <c r="B1006" s="3">
        <f>IFERROR(__xludf.DUMMYFUNCTION("""COMPUTED_VALUE"""),46072.66666666667)</f>
        <v>46072.66667</v>
      </c>
      <c r="C1006" s="2">
        <f>IFERROR(__xludf.DUMMYFUNCTION("""COMPUTED_VALUE"""),411.71)</f>
        <v>411.71</v>
      </c>
      <c r="D1006" s="2">
        <f t="shared" si="4"/>
        <v>0.0009481668774</v>
      </c>
    </row>
    <row r="1007">
      <c r="A1007" s="1" t="s">
        <v>5</v>
      </c>
      <c r="B1007" s="3">
        <f>IFERROR(__xludf.DUMMYFUNCTION("""COMPUTED_VALUE"""),46073.66666666667)</f>
        <v>46073.66667</v>
      </c>
      <c r="C1007" s="2">
        <f>IFERROR(__xludf.DUMMYFUNCTION("""COMPUTED_VALUE"""),411.82)</f>
        <v>411.82</v>
      </c>
      <c r="D1007" s="2">
        <f t="shared" si="4"/>
        <v>0.0002671783537</v>
      </c>
    </row>
    <row r="1008">
      <c r="A1008" s="1" t="s">
        <v>5</v>
      </c>
      <c r="D1008" s="2">
        <f t="shared" si="4"/>
        <v>-1</v>
      </c>
    </row>
    <row r="1009">
      <c r="A1009" s="1" t="s">
        <v>0</v>
      </c>
      <c r="B1009" s="2" t="str">
        <f>IFERROR(__xludf.DUMMYFUNCTION("GOOGLEFINANCE(A1010, ""price"", EDATE(TODAY(), -12), TODAY()) "),"Date")</f>
        <v>Date</v>
      </c>
      <c r="C1009" s="2" t="str">
        <f>IFERROR(__xludf.DUMMYFUNCTION("""COMPUTED_VALUE"""),"Close")</f>
        <v>Close</v>
      </c>
    </row>
    <row r="1010">
      <c r="A1010" s="1" t="s">
        <v>6</v>
      </c>
      <c r="B1010" s="3">
        <f>IFERROR(__xludf.DUMMYFUNCTION("""COMPUTED_VALUE"""),45712.66666666667)</f>
        <v>45712.66667</v>
      </c>
      <c r="C1010" s="2">
        <f>IFERROR(__xludf.DUMMYFUNCTION("""COMPUTED_VALUE"""),6.92)</f>
        <v>6.92</v>
      </c>
    </row>
    <row r="1011">
      <c r="A1011" s="1" t="s">
        <v>6</v>
      </c>
      <c r="B1011" s="3">
        <f>IFERROR(__xludf.DUMMYFUNCTION("""COMPUTED_VALUE"""),45713.66666666667)</f>
        <v>45713.66667</v>
      </c>
      <c r="C1011" s="2">
        <f>IFERROR(__xludf.DUMMYFUNCTION("""COMPUTED_VALUE"""),7.43)</f>
        <v>7.43</v>
      </c>
      <c r="D1011" s="2">
        <f t="shared" ref="D1011:D1260" si="5">(C1011-C1010)/C1010</f>
        <v>0.07369942197</v>
      </c>
    </row>
    <row r="1012">
      <c r="A1012" s="1" t="s">
        <v>6</v>
      </c>
      <c r="B1012" s="3">
        <f>IFERROR(__xludf.DUMMYFUNCTION("""COMPUTED_VALUE"""),45714.66666666667)</f>
        <v>45714.66667</v>
      </c>
      <c r="C1012" s="2">
        <f>IFERROR(__xludf.DUMMYFUNCTION("""COMPUTED_VALUE"""),6.75)</f>
        <v>6.75</v>
      </c>
      <c r="D1012" s="2">
        <f t="shared" si="5"/>
        <v>-0.09152086137</v>
      </c>
    </row>
    <row r="1013">
      <c r="A1013" s="1" t="s">
        <v>6</v>
      </c>
      <c r="B1013" s="3">
        <f>IFERROR(__xludf.DUMMYFUNCTION("""COMPUTED_VALUE"""),45715.66666666667)</f>
        <v>45715.66667</v>
      </c>
      <c r="C1013" s="2">
        <f>IFERROR(__xludf.DUMMYFUNCTION("""COMPUTED_VALUE"""),6.38)</f>
        <v>6.38</v>
      </c>
      <c r="D1013" s="2">
        <f t="shared" si="5"/>
        <v>-0.05481481481</v>
      </c>
    </row>
    <row r="1014">
      <c r="A1014" s="1" t="s">
        <v>6</v>
      </c>
      <c r="B1014" s="3">
        <f>IFERROR(__xludf.DUMMYFUNCTION("""COMPUTED_VALUE"""),45716.66666666667)</f>
        <v>45716.66667</v>
      </c>
      <c r="C1014" s="2">
        <f>IFERROR(__xludf.DUMMYFUNCTION("""COMPUTED_VALUE"""),6.39)</f>
        <v>6.39</v>
      </c>
      <c r="D1014" s="2">
        <f t="shared" si="5"/>
        <v>0.001567398119</v>
      </c>
    </row>
    <row r="1015">
      <c r="A1015" s="1" t="s">
        <v>6</v>
      </c>
      <c r="B1015" s="3">
        <f>IFERROR(__xludf.DUMMYFUNCTION("""COMPUTED_VALUE"""),45719.66666666667)</f>
        <v>45719.66667</v>
      </c>
      <c r="C1015" s="2">
        <f>IFERROR(__xludf.DUMMYFUNCTION("""COMPUTED_VALUE"""),6.0)</f>
        <v>6</v>
      </c>
      <c r="D1015" s="2">
        <f t="shared" si="5"/>
        <v>-0.06103286385</v>
      </c>
    </row>
    <row r="1016">
      <c r="A1016" s="1" t="s">
        <v>6</v>
      </c>
      <c r="B1016" s="3">
        <f>IFERROR(__xludf.DUMMYFUNCTION("""COMPUTED_VALUE"""),45720.66666666667)</f>
        <v>45720.66667</v>
      </c>
      <c r="C1016" s="2">
        <f>IFERROR(__xludf.DUMMYFUNCTION("""COMPUTED_VALUE"""),5.9)</f>
        <v>5.9</v>
      </c>
      <c r="D1016" s="2">
        <f t="shared" si="5"/>
        <v>-0.01666666667</v>
      </c>
    </row>
    <row r="1017">
      <c r="A1017" s="1" t="s">
        <v>6</v>
      </c>
      <c r="B1017" s="3">
        <f>IFERROR(__xludf.DUMMYFUNCTION("""COMPUTED_VALUE"""),45721.66666666667)</f>
        <v>45721.66667</v>
      </c>
      <c r="C1017" s="2">
        <f>IFERROR(__xludf.DUMMYFUNCTION("""COMPUTED_VALUE"""),5.68)</f>
        <v>5.68</v>
      </c>
      <c r="D1017" s="2">
        <f t="shared" si="5"/>
        <v>-0.03728813559</v>
      </c>
    </row>
    <row r="1018">
      <c r="A1018" s="1" t="s">
        <v>6</v>
      </c>
      <c r="B1018" s="3">
        <f>IFERROR(__xludf.DUMMYFUNCTION("""COMPUTED_VALUE"""),45722.66666666667)</f>
        <v>45722.66667</v>
      </c>
      <c r="C1018" s="2">
        <f>IFERROR(__xludf.DUMMYFUNCTION("""COMPUTED_VALUE"""),5.54)</f>
        <v>5.54</v>
      </c>
      <c r="D1018" s="2">
        <f t="shared" si="5"/>
        <v>-0.02464788732</v>
      </c>
    </row>
    <row r="1019">
      <c r="A1019" s="1" t="s">
        <v>6</v>
      </c>
      <c r="B1019" s="3">
        <f>IFERROR(__xludf.DUMMYFUNCTION("""COMPUTED_VALUE"""),45723.66666666667)</f>
        <v>45723.66667</v>
      </c>
      <c r="C1019" s="2">
        <f>IFERROR(__xludf.DUMMYFUNCTION("""COMPUTED_VALUE"""),6.14)</f>
        <v>6.14</v>
      </c>
      <c r="D1019" s="2">
        <f t="shared" si="5"/>
        <v>0.1083032491</v>
      </c>
    </row>
    <row r="1020">
      <c r="A1020" s="1" t="s">
        <v>6</v>
      </c>
      <c r="B1020" s="3">
        <f>IFERROR(__xludf.DUMMYFUNCTION("""COMPUTED_VALUE"""),45726.66666666667)</f>
        <v>45726.66667</v>
      </c>
      <c r="C1020" s="2">
        <f>IFERROR(__xludf.DUMMYFUNCTION("""COMPUTED_VALUE"""),5.4)</f>
        <v>5.4</v>
      </c>
      <c r="D1020" s="2">
        <f t="shared" si="5"/>
        <v>-0.1205211726</v>
      </c>
    </row>
    <row r="1021">
      <c r="A1021" s="1" t="s">
        <v>6</v>
      </c>
      <c r="B1021" s="3">
        <f>IFERROR(__xludf.DUMMYFUNCTION("""COMPUTED_VALUE"""),45727.66666666667)</f>
        <v>45727.66667</v>
      </c>
      <c r="C1021" s="2">
        <f>IFERROR(__xludf.DUMMYFUNCTION("""COMPUTED_VALUE"""),5.36)</f>
        <v>5.36</v>
      </c>
      <c r="D1021" s="2">
        <f t="shared" si="5"/>
        <v>-0.007407407407</v>
      </c>
    </row>
    <row r="1022">
      <c r="A1022" s="1" t="s">
        <v>6</v>
      </c>
      <c r="B1022" s="3">
        <f>IFERROR(__xludf.DUMMYFUNCTION("""COMPUTED_VALUE"""),45728.66666666667)</f>
        <v>45728.66667</v>
      </c>
      <c r="C1022" s="2">
        <f>IFERROR(__xludf.DUMMYFUNCTION("""COMPUTED_VALUE"""),5.32)</f>
        <v>5.32</v>
      </c>
      <c r="D1022" s="2">
        <f t="shared" si="5"/>
        <v>-0.007462686567</v>
      </c>
    </row>
    <row r="1023">
      <c r="A1023" s="1" t="s">
        <v>6</v>
      </c>
      <c r="B1023" s="3">
        <f>IFERROR(__xludf.DUMMYFUNCTION("""COMPUTED_VALUE"""),45729.66666666667)</f>
        <v>45729.66667</v>
      </c>
      <c r="C1023" s="2">
        <f>IFERROR(__xludf.DUMMYFUNCTION("""COMPUTED_VALUE"""),5.04)</f>
        <v>5.04</v>
      </c>
      <c r="D1023" s="2">
        <f t="shared" si="5"/>
        <v>-0.05263157895</v>
      </c>
    </row>
    <row r="1024">
      <c r="A1024" s="1" t="s">
        <v>6</v>
      </c>
      <c r="B1024" s="3">
        <f>IFERROR(__xludf.DUMMYFUNCTION("""COMPUTED_VALUE"""),45730.66666666667)</f>
        <v>45730.66667</v>
      </c>
      <c r="C1024" s="2">
        <f>IFERROR(__xludf.DUMMYFUNCTION("""COMPUTED_VALUE"""),5.62)</f>
        <v>5.62</v>
      </c>
      <c r="D1024" s="2">
        <f t="shared" si="5"/>
        <v>0.1150793651</v>
      </c>
    </row>
    <row r="1025">
      <c r="A1025" s="1" t="s">
        <v>6</v>
      </c>
      <c r="B1025" s="3">
        <f>IFERROR(__xludf.DUMMYFUNCTION("""COMPUTED_VALUE"""),45733.66666666667)</f>
        <v>45733.66667</v>
      </c>
      <c r="C1025" s="2">
        <f>IFERROR(__xludf.DUMMYFUNCTION("""COMPUTED_VALUE"""),5.66)</f>
        <v>5.66</v>
      </c>
      <c r="D1025" s="2">
        <f t="shared" si="5"/>
        <v>0.007117437722</v>
      </c>
    </row>
    <row r="1026">
      <c r="A1026" s="1" t="s">
        <v>6</v>
      </c>
      <c r="B1026" s="3">
        <f>IFERROR(__xludf.DUMMYFUNCTION("""COMPUTED_VALUE"""),45734.66666666667)</f>
        <v>45734.66667</v>
      </c>
      <c r="C1026" s="2">
        <f>IFERROR(__xludf.DUMMYFUNCTION("""COMPUTED_VALUE"""),5.08)</f>
        <v>5.08</v>
      </c>
      <c r="D1026" s="2">
        <f t="shared" si="5"/>
        <v>-0.1024734982</v>
      </c>
    </row>
    <row r="1027">
      <c r="A1027" s="1" t="s">
        <v>6</v>
      </c>
      <c r="B1027" s="3">
        <f>IFERROR(__xludf.DUMMYFUNCTION("""COMPUTED_VALUE"""),45735.66666666667)</f>
        <v>45735.66667</v>
      </c>
      <c r="C1027" s="2">
        <f>IFERROR(__xludf.DUMMYFUNCTION("""COMPUTED_VALUE"""),5.08)</f>
        <v>5.08</v>
      </c>
      <c r="D1027" s="2">
        <f t="shared" si="5"/>
        <v>0</v>
      </c>
    </row>
    <row r="1028">
      <c r="A1028" s="1" t="s">
        <v>6</v>
      </c>
      <c r="B1028" s="3">
        <f>IFERROR(__xludf.DUMMYFUNCTION("""COMPUTED_VALUE"""),45736.66666666667)</f>
        <v>45736.66667</v>
      </c>
      <c r="C1028" s="2">
        <f>IFERROR(__xludf.DUMMYFUNCTION("""COMPUTED_VALUE"""),5.02)</f>
        <v>5.02</v>
      </c>
      <c r="D1028" s="2">
        <f t="shared" si="5"/>
        <v>-0.01181102362</v>
      </c>
    </row>
    <row r="1029">
      <c r="A1029" s="1" t="s">
        <v>6</v>
      </c>
      <c r="B1029" s="3">
        <f>IFERROR(__xludf.DUMMYFUNCTION("""COMPUTED_VALUE"""),45737.66666666667)</f>
        <v>45737.66667</v>
      </c>
      <c r="C1029" s="2">
        <f>IFERROR(__xludf.DUMMYFUNCTION("""COMPUTED_VALUE"""),5.14)</f>
        <v>5.14</v>
      </c>
      <c r="D1029" s="2">
        <f t="shared" si="5"/>
        <v>0.02390438247</v>
      </c>
    </row>
    <row r="1030">
      <c r="A1030" s="1" t="s">
        <v>6</v>
      </c>
      <c r="B1030" s="3">
        <f>IFERROR(__xludf.DUMMYFUNCTION("""COMPUTED_VALUE"""),45740.66666666667)</f>
        <v>45740.66667</v>
      </c>
      <c r="C1030" s="2">
        <f>IFERROR(__xludf.DUMMYFUNCTION("""COMPUTED_VALUE"""),5.15)</f>
        <v>5.15</v>
      </c>
      <c r="D1030" s="2">
        <f t="shared" si="5"/>
        <v>0.001945525292</v>
      </c>
    </row>
    <row r="1031">
      <c r="A1031" s="1" t="s">
        <v>6</v>
      </c>
      <c r="B1031" s="3">
        <f>IFERROR(__xludf.DUMMYFUNCTION("""COMPUTED_VALUE"""),45741.66666666667)</f>
        <v>45741.66667</v>
      </c>
      <c r="C1031" s="2">
        <f>IFERROR(__xludf.DUMMYFUNCTION("""COMPUTED_VALUE"""),4.83)</f>
        <v>4.83</v>
      </c>
      <c r="D1031" s="2">
        <f t="shared" si="5"/>
        <v>-0.06213592233</v>
      </c>
    </row>
    <row r="1032">
      <c r="A1032" s="1" t="s">
        <v>6</v>
      </c>
      <c r="B1032" s="3">
        <f>IFERROR(__xludf.DUMMYFUNCTION("""COMPUTED_VALUE"""),45742.66666666667)</f>
        <v>45742.66667</v>
      </c>
      <c r="C1032" s="2">
        <f>IFERROR(__xludf.DUMMYFUNCTION("""COMPUTED_VALUE"""),5.36)</f>
        <v>5.36</v>
      </c>
      <c r="D1032" s="2">
        <f t="shared" si="5"/>
        <v>0.1097308489</v>
      </c>
    </row>
    <row r="1033">
      <c r="A1033" s="1" t="s">
        <v>6</v>
      </c>
      <c r="B1033" s="3">
        <f>IFERROR(__xludf.DUMMYFUNCTION("""COMPUTED_VALUE"""),45743.66666666667)</f>
        <v>45743.66667</v>
      </c>
      <c r="C1033" s="2">
        <f>IFERROR(__xludf.DUMMYFUNCTION("""COMPUTED_VALUE"""),5.59)</f>
        <v>5.59</v>
      </c>
      <c r="D1033" s="2">
        <f t="shared" si="5"/>
        <v>0.04291044776</v>
      </c>
    </row>
    <row r="1034">
      <c r="A1034" s="1" t="s">
        <v>6</v>
      </c>
      <c r="B1034" s="3">
        <f>IFERROR(__xludf.DUMMYFUNCTION("""COMPUTED_VALUE"""),45744.66666666667)</f>
        <v>45744.66667</v>
      </c>
      <c r="C1034" s="2">
        <f>IFERROR(__xludf.DUMMYFUNCTION("""COMPUTED_VALUE"""),5.31)</f>
        <v>5.31</v>
      </c>
      <c r="D1034" s="2">
        <f t="shared" si="5"/>
        <v>-0.05008944544</v>
      </c>
    </row>
    <row r="1035">
      <c r="A1035" s="1" t="s">
        <v>6</v>
      </c>
      <c r="B1035" s="3">
        <f>IFERROR(__xludf.DUMMYFUNCTION("""COMPUTED_VALUE"""),45747.66666666667)</f>
        <v>45747.66667</v>
      </c>
      <c r="C1035" s="2">
        <f>IFERROR(__xludf.DUMMYFUNCTION("""COMPUTED_VALUE"""),5.8)</f>
        <v>5.8</v>
      </c>
      <c r="D1035" s="2">
        <f t="shared" si="5"/>
        <v>0.0922787194</v>
      </c>
    </row>
    <row r="1036">
      <c r="A1036" s="1" t="s">
        <v>6</v>
      </c>
      <c r="B1036" s="3">
        <f>IFERROR(__xludf.DUMMYFUNCTION("""COMPUTED_VALUE"""),45748.66666666667)</f>
        <v>45748.66667</v>
      </c>
      <c r="C1036" s="2">
        <f>IFERROR(__xludf.DUMMYFUNCTION("""COMPUTED_VALUE"""),5.03)</f>
        <v>5.03</v>
      </c>
      <c r="D1036" s="2">
        <f t="shared" si="5"/>
        <v>-0.1327586207</v>
      </c>
    </row>
    <row r="1037">
      <c r="A1037" s="1" t="s">
        <v>6</v>
      </c>
      <c r="B1037" s="3">
        <f>IFERROR(__xludf.DUMMYFUNCTION("""COMPUTED_VALUE"""),45749.66666666667)</f>
        <v>45749.66667</v>
      </c>
      <c r="C1037" s="2">
        <f>IFERROR(__xludf.DUMMYFUNCTION("""COMPUTED_VALUE"""),5.03)</f>
        <v>5.03</v>
      </c>
      <c r="D1037" s="2">
        <f t="shared" si="5"/>
        <v>0</v>
      </c>
    </row>
    <row r="1038">
      <c r="A1038" s="1" t="s">
        <v>6</v>
      </c>
      <c r="B1038" s="3">
        <f>IFERROR(__xludf.DUMMYFUNCTION("""COMPUTED_VALUE"""),45750.66666666667)</f>
        <v>45750.66667</v>
      </c>
      <c r="C1038" s="2">
        <f>IFERROR(__xludf.DUMMYFUNCTION("""COMPUTED_VALUE"""),4.12)</f>
        <v>4.12</v>
      </c>
      <c r="D1038" s="2">
        <f t="shared" si="5"/>
        <v>-0.1809145129</v>
      </c>
    </row>
    <row r="1039">
      <c r="A1039" s="1" t="s">
        <v>6</v>
      </c>
      <c r="B1039" s="3">
        <f>IFERROR(__xludf.DUMMYFUNCTION("""COMPUTED_VALUE"""),45751.66666666667)</f>
        <v>45751.66667</v>
      </c>
      <c r="C1039" s="2">
        <f>IFERROR(__xludf.DUMMYFUNCTION("""COMPUTED_VALUE"""),3.94)</f>
        <v>3.94</v>
      </c>
      <c r="D1039" s="2">
        <f t="shared" si="5"/>
        <v>-0.04368932039</v>
      </c>
    </row>
    <row r="1040">
      <c r="A1040" s="1" t="s">
        <v>6</v>
      </c>
      <c r="B1040" s="3">
        <f>IFERROR(__xludf.DUMMYFUNCTION("""COMPUTED_VALUE"""),45754.66666666667)</f>
        <v>45754.66667</v>
      </c>
      <c r="C1040" s="2">
        <f>IFERROR(__xludf.DUMMYFUNCTION("""COMPUTED_VALUE"""),3.79)</f>
        <v>3.79</v>
      </c>
      <c r="D1040" s="2">
        <f t="shared" si="5"/>
        <v>-0.03807106599</v>
      </c>
    </row>
    <row r="1041">
      <c r="A1041" s="1" t="s">
        <v>6</v>
      </c>
      <c r="B1041" s="3">
        <f>IFERROR(__xludf.DUMMYFUNCTION("""COMPUTED_VALUE"""),45755.66666666667)</f>
        <v>45755.66667</v>
      </c>
      <c r="C1041" s="2">
        <f>IFERROR(__xludf.DUMMYFUNCTION("""COMPUTED_VALUE"""),3.68)</f>
        <v>3.68</v>
      </c>
      <c r="D1041" s="2">
        <f t="shared" si="5"/>
        <v>-0.0290237467</v>
      </c>
    </row>
    <row r="1042">
      <c r="A1042" s="1" t="s">
        <v>6</v>
      </c>
      <c r="B1042" s="3">
        <f>IFERROR(__xludf.DUMMYFUNCTION("""COMPUTED_VALUE"""),45756.66666666667)</f>
        <v>45756.66667</v>
      </c>
      <c r="C1042" s="2">
        <f>IFERROR(__xludf.DUMMYFUNCTION("""COMPUTED_VALUE"""),4.45)</f>
        <v>4.45</v>
      </c>
      <c r="D1042" s="2">
        <f t="shared" si="5"/>
        <v>0.2092391304</v>
      </c>
    </row>
    <row r="1043">
      <c r="A1043" s="1" t="s">
        <v>6</v>
      </c>
      <c r="B1043" s="3">
        <f>IFERROR(__xludf.DUMMYFUNCTION("""COMPUTED_VALUE"""),45757.66666666667)</f>
        <v>45757.66667</v>
      </c>
      <c r="C1043" s="2">
        <f>IFERROR(__xludf.DUMMYFUNCTION("""COMPUTED_VALUE"""),4.25)</f>
        <v>4.25</v>
      </c>
      <c r="D1043" s="2">
        <f t="shared" si="5"/>
        <v>-0.04494382022</v>
      </c>
    </row>
    <row r="1044">
      <c r="A1044" s="1" t="s">
        <v>6</v>
      </c>
      <c r="B1044" s="3">
        <f>IFERROR(__xludf.DUMMYFUNCTION("""COMPUTED_VALUE"""),45758.66666666667)</f>
        <v>45758.66667</v>
      </c>
      <c r="C1044" s="2">
        <f>IFERROR(__xludf.DUMMYFUNCTION("""COMPUTED_VALUE"""),3.89)</f>
        <v>3.89</v>
      </c>
      <c r="D1044" s="2">
        <f t="shared" si="5"/>
        <v>-0.08470588235</v>
      </c>
    </row>
    <row r="1045">
      <c r="A1045" s="1" t="s">
        <v>6</v>
      </c>
      <c r="B1045" s="3">
        <f>IFERROR(__xludf.DUMMYFUNCTION("""COMPUTED_VALUE"""),45761.66666666667)</f>
        <v>45761.66667</v>
      </c>
      <c r="C1045" s="2">
        <f>IFERROR(__xludf.DUMMYFUNCTION("""COMPUTED_VALUE"""),3.83)</f>
        <v>3.83</v>
      </c>
      <c r="D1045" s="2">
        <f t="shared" si="5"/>
        <v>-0.01542416452</v>
      </c>
    </row>
    <row r="1046">
      <c r="A1046" s="1" t="s">
        <v>6</v>
      </c>
      <c r="B1046" s="3">
        <f>IFERROR(__xludf.DUMMYFUNCTION("""COMPUTED_VALUE"""),45762.66666666667)</f>
        <v>45762.66667</v>
      </c>
      <c r="C1046" s="2">
        <f>IFERROR(__xludf.DUMMYFUNCTION("""COMPUTED_VALUE"""),3.75)</f>
        <v>3.75</v>
      </c>
      <c r="D1046" s="2">
        <f t="shared" si="5"/>
        <v>-0.02088772846</v>
      </c>
    </row>
    <row r="1047">
      <c r="A1047" s="1" t="s">
        <v>6</v>
      </c>
      <c r="B1047" s="3">
        <f>IFERROR(__xludf.DUMMYFUNCTION("""COMPUTED_VALUE"""),45763.66666666667)</f>
        <v>45763.66667</v>
      </c>
      <c r="C1047" s="2">
        <f>IFERROR(__xludf.DUMMYFUNCTION("""COMPUTED_VALUE"""),3.69)</f>
        <v>3.69</v>
      </c>
      <c r="D1047" s="2">
        <f t="shared" si="5"/>
        <v>-0.016</v>
      </c>
    </row>
    <row r="1048">
      <c r="A1048" s="1" t="s">
        <v>6</v>
      </c>
      <c r="B1048" s="3">
        <f>IFERROR(__xludf.DUMMYFUNCTION("""COMPUTED_VALUE"""),45764.66666666667)</f>
        <v>45764.66667</v>
      </c>
      <c r="C1048" s="2">
        <f>IFERROR(__xludf.DUMMYFUNCTION("""COMPUTED_VALUE"""),4.09)</f>
        <v>4.09</v>
      </c>
      <c r="D1048" s="2">
        <f t="shared" si="5"/>
        <v>0.108401084</v>
      </c>
    </row>
    <row r="1049">
      <c r="A1049" s="1" t="s">
        <v>6</v>
      </c>
      <c r="B1049" s="3">
        <f>IFERROR(__xludf.DUMMYFUNCTION("""COMPUTED_VALUE"""),45768.66666666667)</f>
        <v>45768.66667</v>
      </c>
      <c r="C1049" s="2">
        <f>IFERROR(__xludf.DUMMYFUNCTION("""COMPUTED_VALUE"""),3.9)</f>
        <v>3.9</v>
      </c>
      <c r="D1049" s="2">
        <f t="shared" si="5"/>
        <v>-0.04645476773</v>
      </c>
    </row>
    <row r="1050">
      <c r="A1050" s="1" t="s">
        <v>6</v>
      </c>
      <c r="B1050" s="3">
        <f>IFERROR(__xludf.DUMMYFUNCTION("""COMPUTED_VALUE"""),45769.66666666667)</f>
        <v>45769.66667</v>
      </c>
      <c r="C1050" s="2">
        <f>IFERROR(__xludf.DUMMYFUNCTION("""COMPUTED_VALUE"""),4.0)</f>
        <v>4</v>
      </c>
      <c r="D1050" s="2">
        <f t="shared" si="5"/>
        <v>0.02564102564</v>
      </c>
    </row>
    <row r="1051">
      <c r="A1051" s="1" t="s">
        <v>6</v>
      </c>
      <c r="B1051" s="3">
        <f>IFERROR(__xludf.DUMMYFUNCTION("""COMPUTED_VALUE"""),45770.66666666667)</f>
        <v>45770.66667</v>
      </c>
      <c r="C1051" s="2">
        <f>IFERROR(__xludf.DUMMYFUNCTION("""COMPUTED_VALUE"""),4.1)</f>
        <v>4.1</v>
      </c>
      <c r="D1051" s="2">
        <f t="shared" si="5"/>
        <v>0.025</v>
      </c>
    </row>
    <row r="1052">
      <c r="A1052" s="1" t="s">
        <v>6</v>
      </c>
      <c r="B1052" s="3">
        <f>IFERROR(__xludf.DUMMYFUNCTION("""COMPUTED_VALUE"""),45771.66666666667)</f>
        <v>45771.66667</v>
      </c>
      <c r="C1052" s="2">
        <f>IFERROR(__xludf.DUMMYFUNCTION("""COMPUTED_VALUE"""),4.21)</f>
        <v>4.21</v>
      </c>
      <c r="D1052" s="2">
        <f t="shared" si="5"/>
        <v>0.02682926829</v>
      </c>
    </row>
    <row r="1053">
      <c r="A1053" s="1" t="s">
        <v>6</v>
      </c>
      <c r="B1053" s="3">
        <f>IFERROR(__xludf.DUMMYFUNCTION("""COMPUTED_VALUE"""),45772.66666666667)</f>
        <v>45772.66667</v>
      </c>
      <c r="C1053" s="2">
        <f>IFERROR(__xludf.DUMMYFUNCTION("""COMPUTED_VALUE"""),4.1)</f>
        <v>4.1</v>
      </c>
      <c r="D1053" s="2">
        <f t="shared" si="5"/>
        <v>-0.02612826603</v>
      </c>
    </row>
    <row r="1054">
      <c r="A1054" s="1" t="s">
        <v>6</v>
      </c>
      <c r="B1054" s="3">
        <f>IFERROR(__xludf.DUMMYFUNCTION("""COMPUTED_VALUE"""),45775.66666666667)</f>
        <v>45775.66667</v>
      </c>
      <c r="C1054" s="2">
        <f>IFERROR(__xludf.DUMMYFUNCTION("""COMPUTED_VALUE"""),4.18)</f>
        <v>4.18</v>
      </c>
      <c r="D1054" s="2">
        <f t="shared" si="5"/>
        <v>0.01951219512</v>
      </c>
    </row>
    <row r="1055">
      <c r="A1055" s="1" t="s">
        <v>6</v>
      </c>
      <c r="B1055" s="3">
        <f>IFERROR(__xludf.DUMMYFUNCTION("""COMPUTED_VALUE"""),45776.66666666667)</f>
        <v>45776.66667</v>
      </c>
      <c r="C1055" s="2">
        <f>IFERROR(__xludf.DUMMYFUNCTION("""COMPUTED_VALUE"""),4.15)</f>
        <v>4.15</v>
      </c>
      <c r="D1055" s="2">
        <f t="shared" si="5"/>
        <v>-0.007177033493</v>
      </c>
    </row>
    <row r="1056">
      <c r="A1056" s="1" t="s">
        <v>6</v>
      </c>
      <c r="B1056" s="3">
        <f>IFERROR(__xludf.DUMMYFUNCTION("""COMPUTED_VALUE"""),45777.66666666667)</f>
        <v>45777.66667</v>
      </c>
      <c r="C1056" s="2">
        <f>IFERROR(__xludf.DUMMYFUNCTION("""COMPUTED_VALUE"""),4.07)</f>
        <v>4.07</v>
      </c>
      <c r="D1056" s="2">
        <f t="shared" si="5"/>
        <v>-0.01927710843</v>
      </c>
    </row>
    <row r="1057">
      <c r="A1057" s="1" t="s">
        <v>6</v>
      </c>
      <c r="B1057" s="3">
        <f>IFERROR(__xludf.DUMMYFUNCTION("""COMPUTED_VALUE"""),45778.66666666667)</f>
        <v>45778.66667</v>
      </c>
      <c r="C1057" s="2">
        <f>IFERROR(__xludf.DUMMYFUNCTION("""COMPUTED_VALUE"""),3.82)</f>
        <v>3.82</v>
      </c>
      <c r="D1057" s="2">
        <f t="shared" si="5"/>
        <v>-0.06142506143</v>
      </c>
    </row>
    <row r="1058">
      <c r="A1058" s="1" t="s">
        <v>6</v>
      </c>
      <c r="B1058" s="3">
        <f>IFERROR(__xludf.DUMMYFUNCTION("""COMPUTED_VALUE"""),45779.66666666667)</f>
        <v>45779.66667</v>
      </c>
      <c r="C1058" s="2">
        <f>IFERROR(__xludf.DUMMYFUNCTION("""COMPUTED_VALUE"""),4.0)</f>
        <v>4</v>
      </c>
      <c r="D1058" s="2">
        <f t="shared" si="5"/>
        <v>0.04712041885</v>
      </c>
    </row>
    <row r="1059">
      <c r="A1059" s="1" t="s">
        <v>6</v>
      </c>
      <c r="B1059" s="3">
        <f>IFERROR(__xludf.DUMMYFUNCTION("""COMPUTED_VALUE"""),45782.66666666667)</f>
        <v>45782.66667</v>
      </c>
      <c r="C1059" s="2">
        <f>IFERROR(__xludf.DUMMYFUNCTION("""COMPUTED_VALUE"""),3.84)</f>
        <v>3.84</v>
      </c>
      <c r="D1059" s="2">
        <f t="shared" si="5"/>
        <v>-0.04</v>
      </c>
    </row>
    <row r="1060">
      <c r="A1060" s="1" t="s">
        <v>6</v>
      </c>
      <c r="B1060" s="3">
        <f>IFERROR(__xludf.DUMMYFUNCTION("""COMPUTED_VALUE"""),45783.66666666667)</f>
        <v>45783.66667</v>
      </c>
      <c r="C1060" s="2">
        <f>IFERROR(__xludf.DUMMYFUNCTION("""COMPUTED_VALUE"""),3.75)</f>
        <v>3.75</v>
      </c>
      <c r="D1060" s="2">
        <f t="shared" si="5"/>
        <v>-0.0234375</v>
      </c>
    </row>
    <row r="1061">
      <c r="A1061" s="1" t="s">
        <v>6</v>
      </c>
      <c r="B1061" s="3">
        <f>IFERROR(__xludf.DUMMYFUNCTION("""COMPUTED_VALUE"""),45784.66666666667)</f>
        <v>45784.66667</v>
      </c>
      <c r="C1061" s="2">
        <f>IFERROR(__xludf.DUMMYFUNCTION("""COMPUTED_VALUE"""),3.82)</f>
        <v>3.82</v>
      </c>
      <c r="D1061" s="2">
        <f t="shared" si="5"/>
        <v>0.01866666667</v>
      </c>
    </row>
    <row r="1062">
      <c r="A1062" s="1" t="s">
        <v>6</v>
      </c>
      <c r="B1062" s="3">
        <f>IFERROR(__xludf.DUMMYFUNCTION("""COMPUTED_VALUE"""),45785.66666666667)</f>
        <v>45785.66667</v>
      </c>
      <c r="C1062" s="2">
        <f>IFERROR(__xludf.DUMMYFUNCTION("""COMPUTED_VALUE"""),4.39)</f>
        <v>4.39</v>
      </c>
      <c r="D1062" s="2">
        <f t="shared" si="5"/>
        <v>0.1492146597</v>
      </c>
    </row>
    <row r="1063">
      <c r="A1063" s="1" t="s">
        <v>6</v>
      </c>
      <c r="B1063" s="3">
        <f>IFERROR(__xludf.DUMMYFUNCTION("""COMPUTED_VALUE"""),45786.66666666667)</f>
        <v>45786.66667</v>
      </c>
      <c r="C1063" s="2">
        <f>IFERROR(__xludf.DUMMYFUNCTION("""COMPUTED_VALUE"""),4.56)</f>
        <v>4.56</v>
      </c>
      <c r="D1063" s="2">
        <f t="shared" si="5"/>
        <v>0.03872437358</v>
      </c>
    </row>
    <row r="1064">
      <c r="A1064" s="1" t="s">
        <v>6</v>
      </c>
      <c r="B1064" s="3">
        <f>IFERROR(__xludf.DUMMYFUNCTION("""COMPUTED_VALUE"""),45789.66666666667)</f>
        <v>45789.66667</v>
      </c>
      <c r="C1064" s="2">
        <f>IFERROR(__xludf.DUMMYFUNCTION("""COMPUTED_VALUE"""),5.01)</f>
        <v>5.01</v>
      </c>
      <c r="D1064" s="2">
        <f t="shared" si="5"/>
        <v>0.09868421053</v>
      </c>
    </row>
    <row r="1065">
      <c r="A1065" s="1" t="s">
        <v>6</v>
      </c>
      <c r="B1065" s="3">
        <f>IFERROR(__xludf.DUMMYFUNCTION("""COMPUTED_VALUE"""),45790.66666666667)</f>
        <v>45790.66667</v>
      </c>
      <c r="C1065" s="2">
        <f>IFERROR(__xludf.DUMMYFUNCTION("""COMPUTED_VALUE"""),5.16)</f>
        <v>5.16</v>
      </c>
      <c r="D1065" s="2">
        <f t="shared" si="5"/>
        <v>0.02994011976</v>
      </c>
    </row>
    <row r="1066">
      <c r="A1066" s="1" t="s">
        <v>6</v>
      </c>
      <c r="B1066" s="3">
        <f>IFERROR(__xludf.DUMMYFUNCTION("""COMPUTED_VALUE"""),45791.66666666667)</f>
        <v>45791.66667</v>
      </c>
      <c r="C1066" s="2">
        <f>IFERROR(__xludf.DUMMYFUNCTION("""COMPUTED_VALUE"""),5.59)</f>
        <v>5.59</v>
      </c>
      <c r="D1066" s="2">
        <f t="shared" si="5"/>
        <v>0.08333333333</v>
      </c>
    </row>
    <row r="1067">
      <c r="A1067" s="1" t="s">
        <v>6</v>
      </c>
      <c r="B1067" s="3">
        <f>IFERROR(__xludf.DUMMYFUNCTION("""COMPUTED_VALUE"""),45792.66666666667)</f>
        <v>45792.66667</v>
      </c>
      <c r="C1067" s="2">
        <f>IFERROR(__xludf.DUMMYFUNCTION("""COMPUTED_VALUE"""),6.14)</f>
        <v>6.14</v>
      </c>
      <c r="D1067" s="2">
        <f t="shared" si="5"/>
        <v>0.09838998211</v>
      </c>
    </row>
    <row r="1068">
      <c r="A1068" s="1" t="s">
        <v>6</v>
      </c>
      <c r="B1068" s="3">
        <f>IFERROR(__xludf.DUMMYFUNCTION("""COMPUTED_VALUE"""),45793.66666666667)</f>
        <v>45793.66667</v>
      </c>
      <c r="C1068" s="2">
        <f>IFERROR(__xludf.DUMMYFUNCTION("""COMPUTED_VALUE"""),6.72)</f>
        <v>6.72</v>
      </c>
      <c r="D1068" s="2">
        <f t="shared" si="5"/>
        <v>0.09446254072</v>
      </c>
    </row>
    <row r="1069">
      <c r="A1069" s="1" t="s">
        <v>6</v>
      </c>
      <c r="B1069" s="3">
        <f>IFERROR(__xludf.DUMMYFUNCTION("""COMPUTED_VALUE"""),45796.66666666667)</f>
        <v>45796.66667</v>
      </c>
      <c r="C1069" s="2">
        <f>IFERROR(__xludf.DUMMYFUNCTION("""COMPUTED_VALUE"""),6.71)</f>
        <v>6.71</v>
      </c>
      <c r="D1069" s="2">
        <f t="shared" si="5"/>
        <v>-0.001488095238</v>
      </c>
    </row>
    <row r="1070">
      <c r="A1070" s="1" t="s">
        <v>6</v>
      </c>
      <c r="B1070" s="3">
        <f>IFERROR(__xludf.DUMMYFUNCTION("""COMPUTED_VALUE"""),45797.66666666667)</f>
        <v>45797.66667</v>
      </c>
      <c r="C1070" s="2">
        <f>IFERROR(__xludf.DUMMYFUNCTION("""COMPUTED_VALUE"""),6.64)</f>
        <v>6.64</v>
      </c>
      <c r="D1070" s="2">
        <f t="shared" si="5"/>
        <v>-0.01043219076</v>
      </c>
    </row>
    <row r="1071">
      <c r="A1071" s="1" t="s">
        <v>6</v>
      </c>
      <c r="B1071" s="3">
        <f>IFERROR(__xludf.DUMMYFUNCTION("""COMPUTED_VALUE"""),45798.66666666667)</f>
        <v>45798.66667</v>
      </c>
      <c r="C1071" s="2">
        <f>IFERROR(__xludf.DUMMYFUNCTION("""COMPUTED_VALUE"""),6.15)</f>
        <v>6.15</v>
      </c>
      <c r="D1071" s="2">
        <f t="shared" si="5"/>
        <v>-0.07379518072</v>
      </c>
    </row>
    <row r="1072">
      <c r="A1072" s="1" t="s">
        <v>6</v>
      </c>
      <c r="B1072" s="3">
        <f>IFERROR(__xludf.DUMMYFUNCTION("""COMPUTED_VALUE"""),45799.66666666667)</f>
        <v>45799.66667</v>
      </c>
      <c r="C1072" s="2">
        <f>IFERROR(__xludf.DUMMYFUNCTION("""COMPUTED_VALUE"""),6.15)</f>
        <v>6.15</v>
      </c>
      <c r="D1072" s="2">
        <f t="shared" si="5"/>
        <v>0</v>
      </c>
    </row>
    <row r="1073">
      <c r="A1073" s="1" t="s">
        <v>6</v>
      </c>
      <c r="B1073" s="3">
        <f>IFERROR(__xludf.DUMMYFUNCTION("""COMPUTED_VALUE"""),45800.66666666667)</f>
        <v>45800.66667</v>
      </c>
      <c r="C1073" s="2">
        <f>IFERROR(__xludf.DUMMYFUNCTION("""COMPUTED_VALUE"""),5.65)</f>
        <v>5.65</v>
      </c>
      <c r="D1073" s="2">
        <f t="shared" si="5"/>
        <v>-0.08130081301</v>
      </c>
    </row>
    <row r="1074">
      <c r="A1074" s="1" t="s">
        <v>6</v>
      </c>
      <c r="B1074" s="3">
        <f>IFERROR(__xludf.DUMMYFUNCTION("""COMPUTED_VALUE"""),45804.66666666667)</f>
        <v>45804.66667</v>
      </c>
      <c r="C1074" s="2">
        <f>IFERROR(__xludf.DUMMYFUNCTION("""COMPUTED_VALUE"""),6.6)</f>
        <v>6.6</v>
      </c>
      <c r="D1074" s="2">
        <f t="shared" si="5"/>
        <v>0.1681415929</v>
      </c>
    </row>
    <row r="1075">
      <c r="A1075" s="1" t="s">
        <v>6</v>
      </c>
      <c r="B1075" s="3">
        <f>IFERROR(__xludf.DUMMYFUNCTION("""COMPUTED_VALUE"""),45805.66666666667)</f>
        <v>45805.66667</v>
      </c>
      <c r="C1075" s="2">
        <f>IFERROR(__xludf.DUMMYFUNCTION("""COMPUTED_VALUE"""),6.65)</f>
        <v>6.65</v>
      </c>
      <c r="D1075" s="2">
        <f t="shared" si="5"/>
        <v>0.007575757576</v>
      </c>
    </row>
    <row r="1076">
      <c r="A1076" s="1" t="s">
        <v>6</v>
      </c>
      <c r="B1076" s="3">
        <f>IFERROR(__xludf.DUMMYFUNCTION("""COMPUTED_VALUE"""),45806.66666666667)</f>
        <v>45806.66667</v>
      </c>
      <c r="C1076" s="2">
        <f>IFERROR(__xludf.DUMMYFUNCTION("""COMPUTED_VALUE"""),6.61)</f>
        <v>6.61</v>
      </c>
      <c r="D1076" s="2">
        <f t="shared" si="5"/>
        <v>-0.006015037594</v>
      </c>
    </row>
    <row r="1077">
      <c r="A1077" s="1" t="s">
        <v>6</v>
      </c>
      <c r="B1077" s="3">
        <f>IFERROR(__xludf.DUMMYFUNCTION("""COMPUTED_VALUE"""),45807.66666666667)</f>
        <v>45807.66667</v>
      </c>
      <c r="C1077" s="2">
        <f>IFERROR(__xludf.DUMMYFUNCTION("""COMPUTED_VALUE"""),6.41)</f>
        <v>6.41</v>
      </c>
      <c r="D1077" s="2">
        <f t="shared" si="5"/>
        <v>-0.03025718608</v>
      </c>
    </row>
    <row r="1078">
      <c r="A1078" s="1" t="s">
        <v>6</v>
      </c>
      <c r="B1078" s="3">
        <f>IFERROR(__xludf.DUMMYFUNCTION("""COMPUTED_VALUE"""),45810.66666666667)</f>
        <v>45810.66667</v>
      </c>
      <c r="C1078" s="2">
        <f>IFERROR(__xludf.DUMMYFUNCTION("""COMPUTED_VALUE"""),6.13)</f>
        <v>6.13</v>
      </c>
      <c r="D1078" s="2">
        <f t="shared" si="5"/>
        <v>-0.04368174727</v>
      </c>
    </row>
    <row r="1079">
      <c r="A1079" s="1" t="s">
        <v>6</v>
      </c>
      <c r="B1079" s="3">
        <f>IFERROR(__xludf.DUMMYFUNCTION("""COMPUTED_VALUE"""),45811.66666666667)</f>
        <v>45811.66667</v>
      </c>
      <c r="C1079" s="2">
        <f>IFERROR(__xludf.DUMMYFUNCTION("""COMPUTED_VALUE"""),6.32)</f>
        <v>6.32</v>
      </c>
      <c r="D1079" s="2">
        <f t="shared" si="5"/>
        <v>0.03099510604</v>
      </c>
    </row>
    <row r="1080">
      <c r="A1080" s="1" t="s">
        <v>6</v>
      </c>
      <c r="B1080" s="3">
        <f>IFERROR(__xludf.DUMMYFUNCTION("""COMPUTED_VALUE"""),45812.66666666667)</f>
        <v>45812.66667</v>
      </c>
      <c r="C1080" s="2">
        <f>IFERROR(__xludf.DUMMYFUNCTION("""COMPUTED_VALUE"""),6.41)</f>
        <v>6.41</v>
      </c>
      <c r="D1080" s="2">
        <f t="shared" si="5"/>
        <v>0.01424050633</v>
      </c>
    </row>
    <row r="1081">
      <c r="A1081" s="1" t="s">
        <v>6</v>
      </c>
      <c r="B1081" s="3">
        <f>IFERROR(__xludf.DUMMYFUNCTION("""COMPUTED_VALUE"""),45813.66666666667)</f>
        <v>45813.66667</v>
      </c>
      <c r="C1081" s="2">
        <f>IFERROR(__xludf.DUMMYFUNCTION("""COMPUTED_VALUE"""),6.68)</f>
        <v>6.68</v>
      </c>
      <c r="D1081" s="2">
        <f t="shared" si="5"/>
        <v>0.04212168487</v>
      </c>
    </row>
    <row r="1082">
      <c r="A1082" s="1" t="s">
        <v>6</v>
      </c>
      <c r="B1082" s="3">
        <f>IFERROR(__xludf.DUMMYFUNCTION("""COMPUTED_VALUE"""),45814.66666666667)</f>
        <v>45814.66667</v>
      </c>
      <c r="C1082" s="2">
        <f>IFERROR(__xludf.DUMMYFUNCTION("""COMPUTED_VALUE"""),6.46)</f>
        <v>6.46</v>
      </c>
      <c r="D1082" s="2">
        <f t="shared" si="5"/>
        <v>-0.03293413174</v>
      </c>
    </row>
    <row r="1083">
      <c r="A1083" s="1" t="s">
        <v>6</v>
      </c>
      <c r="B1083" s="3">
        <f>IFERROR(__xludf.DUMMYFUNCTION("""COMPUTED_VALUE"""),45817.66666666667)</f>
        <v>45817.66667</v>
      </c>
      <c r="C1083" s="2">
        <f>IFERROR(__xludf.DUMMYFUNCTION("""COMPUTED_VALUE"""),6.63)</f>
        <v>6.63</v>
      </c>
      <c r="D1083" s="2">
        <f t="shared" si="5"/>
        <v>0.02631578947</v>
      </c>
    </row>
    <row r="1084">
      <c r="A1084" s="1" t="s">
        <v>6</v>
      </c>
      <c r="B1084" s="3">
        <f>IFERROR(__xludf.DUMMYFUNCTION("""COMPUTED_VALUE"""),45818.66666666667)</f>
        <v>45818.66667</v>
      </c>
      <c r="C1084" s="2">
        <f>IFERROR(__xludf.DUMMYFUNCTION("""COMPUTED_VALUE"""),6.7)</f>
        <v>6.7</v>
      </c>
      <c r="D1084" s="2">
        <f t="shared" si="5"/>
        <v>0.01055806938</v>
      </c>
    </row>
    <row r="1085">
      <c r="A1085" s="1" t="s">
        <v>6</v>
      </c>
      <c r="B1085" s="3">
        <f>IFERROR(__xludf.DUMMYFUNCTION("""COMPUTED_VALUE"""),45819.66666666667)</f>
        <v>45819.66667</v>
      </c>
      <c r="C1085" s="2">
        <f>IFERROR(__xludf.DUMMYFUNCTION("""COMPUTED_VALUE"""),6.94)</f>
        <v>6.94</v>
      </c>
      <c r="D1085" s="2">
        <f t="shared" si="5"/>
        <v>0.03582089552</v>
      </c>
    </row>
    <row r="1086">
      <c r="A1086" s="1" t="s">
        <v>6</v>
      </c>
      <c r="B1086" s="3">
        <f>IFERROR(__xludf.DUMMYFUNCTION("""COMPUTED_VALUE"""),45820.66666666667)</f>
        <v>45820.66667</v>
      </c>
      <c r="C1086" s="2">
        <f>IFERROR(__xludf.DUMMYFUNCTION("""COMPUTED_VALUE"""),6.82)</f>
        <v>6.82</v>
      </c>
      <c r="D1086" s="2">
        <f t="shared" si="5"/>
        <v>-0.01729106628</v>
      </c>
    </row>
    <row r="1087">
      <c r="A1087" s="1" t="s">
        <v>6</v>
      </c>
      <c r="B1087" s="3">
        <f>IFERROR(__xludf.DUMMYFUNCTION("""COMPUTED_VALUE"""),45821.66666666667)</f>
        <v>45821.66667</v>
      </c>
      <c r="C1087" s="2">
        <f>IFERROR(__xludf.DUMMYFUNCTION("""COMPUTED_VALUE"""),6.5)</f>
        <v>6.5</v>
      </c>
      <c r="D1087" s="2">
        <f t="shared" si="5"/>
        <v>-0.04692082111</v>
      </c>
    </row>
    <row r="1088">
      <c r="A1088" s="1" t="s">
        <v>6</v>
      </c>
      <c r="B1088" s="3">
        <f>IFERROR(__xludf.DUMMYFUNCTION("""COMPUTED_VALUE"""),45824.66666666667)</f>
        <v>45824.66667</v>
      </c>
      <c r="C1088" s="2">
        <f>IFERROR(__xludf.DUMMYFUNCTION("""COMPUTED_VALUE"""),6.44)</f>
        <v>6.44</v>
      </c>
      <c r="D1088" s="2">
        <f t="shared" si="5"/>
        <v>-0.009230769231</v>
      </c>
    </row>
    <row r="1089">
      <c r="A1089" s="1" t="s">
        <v>6</v>
      </c>
      <c r="B1089" s="3">
        <f>IFERROR(__xludf.DUMMYFUNCTION("""COMPUTED_VALUE"""),45825.66666666667)</f>
        <v>45825.66667</v>
      </c>
      <c r="C1089" s="2">
        <f>IFERROR(__xludf.DUMMYFUNCTION("""COMPUTED_VALUE"""),6.21)</f>
        <v>6.21</v>
      </c>
      <c r="D1089" s="2">
        <f t="shared" si="5"/>
        <v>-0.03571428571</v>
      </c>
    </row>
    <row r="1090">
      <c r="A1090" s="1" t="s">
        <v>6</v>
      </c>
      <c r="B1090" s="3">
        <f>IFERROR(__xludf.DUMMYFUNCTION("""COMPUTED_VALUE"""),45826.66666666667)</f>
        <v>45826.66667</v>
      </c>
      <c r="C1090" s="2">
        <f>IFERROR(__xludf.DUMMYFUNCTION("""COMPUTED_VALUE"""),6.16)</f>
        <v>6.16</v>
      </c>
      <c r="D1090" s="2">
        <f t="shared" si="5"/>
        <v>-0.008051529791</v>
      </c>
    </row>
    <row r="1091">
      <c r="A1091" s="1" t="s">
        <v>6</v>
      </c>
      <c r="B1091" s="3">
        <f>IFERROR(__xludf.DUMMYFUNCTION("""COMPUTED_VALUE"""),45828.66666666667)</f>
        <v>45828.66667</v>
      </c>
      <c r="C1091" s="2">
        <f>IFERROR(__xludf.DUMMYFUNCTION("""COMPUTED_VALUE"""),6.02)</f>
        <v>6.02</v>
      </c>
      <c r="D1091" s="2">
        <f t="shared" si="5"/>
        <v>-0.02272727273</v>
      </c>
    </row>
    <row r="1092">
      <c r="A1092" s="1" t="s">
        <v>6</v>
      </c>
      <c r="B1092" s="3">
        <f>IFERROR(__xludf.DUMMYFUNCTION("""COMPUTED_VALUE"""),45831.66666666667)</f>
        <v>45831.66667</v>
      </c>
      <c r="C1092" s="2">
        <f>IFERROR(__xludf.DUMMYFUNCTION("""COMPUTED_VALUE"""),6.04)</f>
        <v>6.04</v>
      </c>
      <c r="D1092" s="2">
        <f t="shared" si="5"/>
        <v>0.003322259136</v>
      </c>
    </row>
    <row r="1093">
      <c r="A1093" s="1" t="s">
        <v>6</v>
      </c>
      <c r="B1093" s="3">
        <f>IFERROR(__xludf.DUMMYFUNCTION("""COMPUTED_VALUE"""),45832.66666666667)</f>
        <v>45832.66667</v>
      </c>
      <c r="C1093" s="2">
        <f>IFERROR(__xludf.DUMMYFUNCTION("""COMPUTED_VALUE"""),6.29)</f>
        <v>6.29</v>
      </c>
      <c r="D1093" s="2">
        <f t="shared" si="5"/>
        <v>0.04139072848</v>
      </c>
    </row>
    <row r="1094">
      <c r="A1094" s="1" t="s">
        <v>6</v>
      </c>
      <c r="B1094" s="3">
        <f>IFERROR(__xludf.DUMMYFUNCTION("""COMPUTED_VALUE"""),45833.66666666667)</f>
        <v>45833.66667</v>
      </c>
      <c r="C1094" s="2">
        <f>IFERROR(__xludf.DUMMYFUNCTION("""COMPUTED_VALUE"""),6.32)</f>
        <v>6.32</v>
      </c>
      <c r="D1094" s="2">
        <f t="shared" si="5"/>
        <v>0.004769475358</v>
      </c>
    </row>
    <row r="1095">
      <c r="A1095" s="1" t="s">
        <v>6</v>
      </c>
      <c r="B1095" s="3">
        <f>IFERROR(__xludf.DUMMYFUNCTION("""COMPUTED_VALUE"""),45834.66666666667)</f>
        <v>45834.66667</v>
      </c>
      <c r="C1095" s="2">
        <f>IFERROR(__xludf.DUMMYFUNCTION("""COMPUTED_VALUE"""),7.26)</f>
        <v>7.26</v>
      </c>
      <c r="D1095" s="2">
        <f t="shared" si="5"/>
        <v>0.1487341772</v>
      </c>
    </row>
    <row r="1096">
      <c r="A1096" s="1" t="s">
        <v>6</v>
      </c>
      <c r="B1096" s="3">
        <f>IFERROR(__xludf.DUMMYFUNCTION("""COMPUTED_VALUE"""),45835.66666666667)</f>
        <v>45835.66667</v>
      </c>
      <c r="C1096" s="2">
        <f>IFERROR(__xludf.DUMMYFUNCTION("""COMPUTED_VALUE"""),6.67)</f>
        <v>6.67</v>
      </c>
      <c r="D1096" s="2">
        <f t="shared" si="5"/>
        <v>-0.08126721763</v>
      </c>
    </row>
    <row r="1097">
      <c r="A1097" s="1" t="s">
        <v>6</v>
      </c>
      <c r="B1097" s="3">
        <f>IFERROR(__xludf.DUMMYFUNCTION("""COMPUTED_VALUE"""),45838.66666666667)</f>
        <v>45838.66667</v>
      </c>
      <c r="C1097" s="2">
        <f>IFERROR(__xludf.DUMMYFUNCTION("""COMPUTED_VALUE"""),6.88)</f>
        <v>6.88</v>
      </c>
      <c r="D1097" s="2">
        <f t="shared" si="5"/>
        <v>0.03148425787</v>
      </c>
    </row>
    <row r="1098">
      <c r="A1098" s="1" t="s">
        <v>6</v>
      </c>
      <c r="B1098" s="3">
        <f>IFERROR(__xludf.DUMMYFUNCTION("""COMPUTED_VALUE"""),45839.66666666667)</f>
        <v>45839.66667</v>
      </c>
      <c r="C1098" s="2">
        <f>IFERROR(__xludf.DUMMYFUNCTION("""COMPUTED_VALUE"""),7.17)</f>
        <v>7.17</v>
      </c>
      <c r="D1098" s="2">
        <f t="shared" si="5"/>
        <v>0.04215116279</v>
      </c>
    </row>
    <row r="1099">
      <c r="A1099" s="1" t="s">
        <v>6</v>
      </c>
      <c r="B1099" s="3">
        <f>IFERROR(__xludf.DUMMYFUNCTION("""COMPUTED_VALUE"""),45840.66666666667)</f>
        <v>45840.66667</v>
      </c>
      <c r="C1099" s="2">
        <f>IFERROR(__xludf.DUMMYFUNCTION("""COMPUTED_VALUE"""),7.63)</f>
        <v>7.63</v>
      </c>
      <c r="D1099" s="2">
        <f t="shared" si="5"/>
        <v>0.06415620642</v>
      </c>
    </row>
    <row r="1100">
      <c r="A1100" s="1" t="s">
        <v>6</v>
      </c>
      <c r="B1100" s="3">
        <f>IFERROR(__xludf.DUMMYFUNCTION("""COMPUTED_VALUE"""),45841.54166666667)</f>
        <v>45841.54167</v>
      </c>
      <c r="C1100" s="2">
        <f>IFERROR(__xludf.DUMMYFUNCTION("""COMPUTED_VALUE"""),7.53)</f>
        <v>7.53</v>
      </c>
      <c r="D1100" s="2">
        <f t="shared" si="5"/>
        <v>-0.0131061599</v>
      </c>
    </row>
    <row r="1101">
      <c r="A1101" s="1" t="s">
        <v>6</v>
      </c>
      <c r="B1101" s="3">
        <f>IFERROR(__xludf.DUMMYFUNCTION("""COMPUTED_VALUE"""),45845.66666666667)</f>
        <v>45845.66667</v>
      </c>
      <c r="C1101" s="2">
        <f>IFERROR(__xludf.DUMMYFUNCTION("""COMPUTED_VALUE"""),7.45)</f>
        <v>7.45</v>
      </c>
      <c r="D1101" s="2">
        <f t="shared" si="5"/>
        <v>-0.01062416999</v>
      </c>
    </row>
    <row r="1102">
      <c r="A1102" s="1" t="s">
        <v>6</v>
      </c>
      <c r="B1102" s="3">
        <f>IFERROR(__xludf.DUMMYFUNCTION("""COMPUTED_VALUE"""),45846.66666666667)</f>
        <v>45846.66667</v>
      </c>
      <c r="C1102" s="2">
        <f>IFERROR(__xludf.DUMMYFUNCTION("""COMPUTED_VALUE"""),8.22)</f>
        <v>8.22</v>
      </c>
      <c r="D1102" s="2">
        <f t="shared" si="5"/>
        <v>0.1033557047</v>
      </c>
    </row>
    <row r="1103">
      <c r="A1103" s="1" t="s">
        <v>6</v>
      </c>
      <c r="B1103" s="3">
        <f>IFERROR(__xludf.DUMMYFUNCTION("""COMPUTED_VALUE"""),45847.66666666667)</f>
        <v>45847.66667</v>
      </c>
      <c r="C1103" s="2">
        <f>IFERROR(__xludf.DUMMYFUNCTION("""COMPUTED_VALUE"""),7.94)</f>
        <v>7.94</v>
      </c>
      <c r="D1103" s="2">
        <f t="shared" si="5"/>
        <v>-0.03406326034</v>
      </c>
    </row>
    <row r="1104">
      <c r="A1104" s="1" t="s">
        <v>6</v>
      </c>
      <c r="B1104" s="3">
        <f>IFERROR(__xludf.DUMMYFUNCTION("""COMPUTED_VALUE"""),45848.66666666667)</f>
        <v>45848.66667</v>
      </c>
      <c r="C1104" s="2">
        <f>IFERROR(__xludf.DUMMYFUNCTION("""COMPUTED_VALUE"""),8.07)</f>
        <v>8.07</v>
      </c>
      <c r="D1104" s="2">
        <f t="shared" si="5"/>
        <v>0.01637279597</v>
      </c>
    </row>
    <row r="1105">
      <c r="A1105" s="1" t="s">
        <v>6</v>
      </c>
      <c r="B1105" s="3">
        <f>IFERROR(__xludf.DUMMYFUNCTION("""COMPUTED_VALUE"""),45849.66666666667)</f>
        <v>45849.66667</v>
      </c>
      <c r="C1105" s="2">
        <f>IFERROR(__xludf.DUMMYFUNCTION("""COMPUTED_VALUE"""),7.78)</f>
        <v>7.78</v>
      </c>
      <c r="D1105" s="2">
        <f t="shared" si="5"/>
        <v>-0.03593556382</v>
      </c>
    </row>
    <row r="1106">
      <c r="A1106" s="1" t="s">
        <v>6</v>
      </c>
      <c r="B1106" s="3">
        <f>IFERROR(__xludf.DUMMYFUNCTION("""COMPUTED_VALUE"""),45852.66666666667)</f>
        <v>45852.66667</v>
      </c>
      <c r="C1106" s="2">
        <f>IFERROR(__xludf.DUMMYFUNCTION("""COMPUTED_VALUE"""),7.57)</f>
        <v>7.57</v>
      </c>
      <c r="D1106" s="2">
        <f t="shared" si="5"/>
        <v>-0.02699228792</v>
      </c>
    </row>
    <row r="1107">
      <c r="A1107" s="1" t="s">
        <v>6</v>
      </c>
      <c r="B1107" s="3">
        <f>IFERROR(__xludf.DUMMYFUNCTION("""COMPUTED_VALUE"""),45853.66666666667)</f>
        <v>45853.66667</v>
      </c>
      <c r="C1107" s="2">
        <f>IFERROR(__xludf.DUMMYFUNCTION("""COMPUTED_VALUE"""),7.01)</f>
        <v>7.01</v>
      </c>
      <c r="D1107" s="2">
        <f t="shared" si="5"/>
        <v>-0.07397622193</v>
      </c>
    </row>
    <row r="1108">
      <c r="A1108" s="1" t="s">
        <v>6</v>
      </c>
      <c r="B1108" s="3">
        <f>IFERROR(__xludf.DUMMYFUNCTION("""COMPUTED_VALUE"""),45854.66666666667)</f>
        <v>45854.66667</v>
      </c>
      <c r="C1108" s="2">
        <f>IFERROR(__xludf.DUMMYFUNCTION("""COMPUTED_VALUE"""),7.34)</f>
        <v>7.34</v>
      </c>
      <c r="D1108" s="2">
        <f t="shared" si="5"/>
        <v>0.04707560628</v>
      </c>
    </row>
    <row r="1109">
      <c r="A1109" s="1" t="s">
        <v>6</v>
      </c>
      <c r="B1109" s="3">
        <f>IFERROR(__xludf.DUMMYFUNCTION("""COMPUTED_VALUE"""),45855.66666666667)</f>
        <v>45855.66667</v>
      </c>
      <c r="C1109" s="2">
        <f>IFERROR(__xludf.DUMMYFUNCTION("""COMPUTED_VALUE"""),8.16)</f>
        <v>8.16</v>
      </c>
      <c r="D1109" s="2">
        <f t="shared" si="5"/>
        <v>0.1117166213</v>
      </c>
    </row>
    <row r="1110">
      <c r="A1110" s="1" t="s">
        <v>6</v>
      </c>
      <c r="B1110" s="3">
        <f>IFERROR(__xludf.DUMMYFUNCTION("""COMPUTED_VALUE"""),45856.66666666667)</f>
        <v>45856.66667</v>
      </c>
      <c r="C1110" s="2">
        <f>IFERROR(__xludf.DUMMYFUNCTION("""COMPUTED_VALUE"""),8.85)</f>
        <v>8.85</v>
      </c>
      <c r="D1110" s="2">
        <f t="shared" si="5"/>
        <v>0.08455882353</v>
      </c>
    </row>
    <row r="1111">
      <c r="A1111" s="1" t="s">
        <v>6</v>
      </c>
      <c r="B1111" s="3">
        <f>IFERROR(__xludf.DUMMYFUNCTION("""COMPUTED_VALUE"""),45859.66666666667)</f>
        <v>45859.66667</v>
      </c>
      <c r="C1111" s="2">
        <f>IFERROR(__xludf.DUMMYFUNCTION("""COMPUTED_VALUE"""),10.84)</f>
        <v>10.84</v>
      </c>
      <c r="D1111" s="2">
        <f t="shared" si="5"/>
        <v>0.2248587571</v>
      </c>
    </row>
    <row r="1112">
      <c r="A1112" s="1" t="s">
        <v>6</v>
      </c>
      <c r="B1112" s="3">
        <f>IFERROR(__xludf.DUMMYFUNCTION("""COMPUTED_VALUE"""),45860.66666666667)</f>
        <v>45860.66667</v>
      </c>
      <c r="C1112" s="2">
        <f>IFERROR(__xludf.DUMMYFUNCTION("""COMPUTED_VALUE"""),10.63)</f>
        <v>10.63</v>
      </c>
      <c r="D1112" s="2">
        <f t="shared" si="5"/>
        <v>-0.01937269373</v>
      </c>
    </row>
    <row r="1113">
      <c r="A1113" s="1" t="s">
        <v>6</v>
      </c>
      <c r="B1113" s="3">
        <f>IFERROR(__xludf.DUMMYFUNCTION("""COMPUTED_VALUE"""),45861.66666666667)</f>
        <v>45861.66667</v>
      </c>
      <c r="C1113" s="2">
        <f>IFERROR(__xludf.DUMMYFUNCTION("""COMPUTED_VALUE"""),11.33)</f>
        <v>11.33</v>
      </c>
      <c r="D1113" s="2">
        <f t="shared" si="5"/>
        <v>0.06585136406</v>
      </c>
    </row>
    <row r="1114">
      <c r="A1114" s="1" t="s">
        <v>6</v>
      </c>
      <c r="B1114" s="3">
        <f>IFERROR(__xludf.DUMMYFUNCTION("""COMPUTED_VALUE"""),45862.66666666667)</f>
        <v>45862.66667</v>
      </c>
      <c r="C1114" s="2">
        <f>IFERROR(__xludf.DUMMYFUNCTION("""COMPUTED_VALUE"""),10.79)</f>
        <v>10.79</v>
      </c>
      <c r="D1114" s="2">
        <f t="shared" si="5"/>
        <v>-0.04766107679</v>
      </c>
    </row>
    <row r="1115">
      <c r="A1115" s="1" t="s">
        <v>6</v>
      </c>
      <c r="B1115" s="3">
        <f>IFERROR(__xludf.DUMMYFUNCTION("""COMPUTED_VALUE"""),45863.66666666667)</f>
        <v>45863.66667</v>
      </c>
      <c r="C1115" s="2">
        <f>IFERROR(__xludf.DUMMYFUNCTION("""COMPUTED_VALUE"""),10.09)</f>
        <v>10.09</v>
      </c>
      <c r="D1115" s="2">
        <f t="shared" si="5"/>
        <v>-0.06487488415</v>
      </c>
    </row>
    <row r="1116">
      <c r="A1116" s="1" t="s">
        <v>6</v>
      </c>
      <c r="B1116" s="3">
        <f>IFERROR(__xludf.DUMMYFUNCTION("""COMPUTED_VALUE"""),45866.66666666667)</f>
        <v>45866.66667</v>
      </c>
      <c r="C1116" s="2">
        <f>IFERROR(__xludf.DUMMYFUNCTION("""COMPUTED_VALUE"""),10.3)</f>
        <v>10.3</v>
      </c>
      <c r="D1116" s="2">
        <f t="shared" si="5"/>
        <v>0.02081268583</v>
      </c>
    </row>
    <row r="1117">
      <c r="A1117" s="1" t="s">
        <v>6</v>
      </c>
      <c r="B1117" s="3">
        <f>IFERROR(__xludf.DUMMYFUNCTION("""COMPUTED_VALUE"""),45867.66666666667)</f>
        <v>45867.66667</v>
      </c>
      <c r="C1117" s="2">
        <f>IFERROR(__xludf.DUMMYFUNCTION("""COMPUTED_VALUE"""),9.66)</f>
        <v>9.66</v>
      </c>
      <c r="D1117" s="2">
        <f t="shared" si="5"/>
        <v>-0.06213592233</v>
      </c>
    </row>
    <row r="1118">
      <c r="A1118" s="1" t="s">
        <v>6</v>
      </c>
      <c r="B1118" s="3">
        <f>IFERROR(__xludf.DUMMYFUNCTION("""COMPUTED_VALUE"""),45868.66666666667)</f>
        <v>45868.66667</v>
      </c>
      <c r="C1118" s="2">
        <f>IFERROR(__xludf.DUMMYFUNCTION("""COMPUTED_VALUE"""),9.13)</f>
        <v>9.13</v>
      </c>
      <c r="D1118" s="2">
        <f t="shared" si="5"/>
        <v>-0.05486542443</v>
      </c>
    </row>
    <row r="1119">
      <c r="A1119" s="1" t="s">
        <v>6</v>
      </c>
      <c r="B1119" s="3">
        <f>IFERROR(__xludf.DUMMYFUNCTION("""COMPUTED_VALUE"""),45869.66666666667)</f>
        <v>45869.66667</v>
      </c>
      <c r="C1119" s="2">
        <f>IFERROR(__xludf.DUMMYFUNCTION("""COMPUTED_VALUE"""),8.95)</f>
        <v>8.95</v>
      </c>
      <c r="D1119" s="2">
        <f t="shared" si="5"/>
        <v>-0.01971522453</v>
      </c>
    </row>
    <row r="1120">
      <c r="A1120" s="1" t="s">
        <v>6</v>
      </c>
      <c r="B1120" s="3">
        <f>IFERROR(__xludf.DUMMYFUNCTION("""COMPUTED_VALUE"""),45870.66666666667)</f>
        <v>45870.66667</v>
      </c>
      <c r="C1120" s="2">
        <f>IFERROR(__xludf.DUMMYFUNCTION("""COMPUTED_VALUE"""),8.16)</f>
        <v>8.16</v>
      </c>
      <c r="D1120" s="2">
        <f t="shared" si="5"/>
        <v>-0.08826815642</v>
      </c>
    </row>
    <row r="1121">
      <c r="A1121" s="1" t="s">
        <v>6</v>
      </c>
      <c r="B1121" s="3">
        <f>IFERROR(__xludf.DUMMYFUNCTION("""COMPUTED_VALUE"""),45873.66666666667)</f>
        <v>45873.66667</v>
      </c>
      <c r="C1121" s="2">
        <f>IFERROR(__xludf.DUMMYFUNCTION("""COMPUTED_VALUE"""),7.97)</f>
        <v>7.97</v>
      </c>
      <c r="D1121" s="2">
        <f t="shared" si="5"/>
        <v>-0.02328431373</v>
      </c>
    </row>
    <row r="1122">
      <c r="A1122" s="1" t="s">
        <v>6</v>
      </c>
      <c r="B1122" s="3">
        <f>IFERROR(__xludf.DUMMYFUNCTION("""COMPUTED_VALUE"""),45874.66666666667)</f>
        <v>45874.66667</v>
      </c>
      <c r="C1122" s="2">
        <f>IFERROR(__xludf.DUMMYFUNCTION("""COMPUTED_VALUE"""),8.66)</f>
        <v>8.66</v>
      </c>
      <c r="D1122" s="2">
        <f t="shared" si="5"/>
        <v>0.08657465496</v>
      </c>
    </row>
    <row r="1123">
      <c r="A1123" s="1" t="s">
        <v>6</v>
      </c>
      <c r="B1123" s="3">
        <f>IFERROR(__xludf.DUMMYFUNCTION("""COMPUTED_VALUE"""),45875.66666666667)</f>
        <v>45875.66667</v>
      </c>
      <c r="C1123" s="2">
        <f>IFERROR(__xludf.DUMMYFUNCTION("""COMPUTED_VALUE"""),8.42)</f>
        <v>8.42</v>
      </c>
      <c r="D1123" s="2">
        <f t="shared" si="5"/>
        <v>-0.02771362587</v>
      </c>
    </row>
    <row r="1124">
      <c r="A1124" s="1" t="s">
        <v>6</v>
      </c>
      <c r="B1124" s="3">
        <f>IFERROR(__xludf.DUMMYFUNCTION("""COMPUTED_VALUE"""),45876.66666666667)</f>
        <v>45876.66667</v>
      </c>
      <c r="C1124" s="2">
        <f>IFERROR(__xludf.DUMMYFUNCTION("""COMPUTED_VALUE"""),8.25)</f>
        <v>8.25</v>
      </c>
      <c r="D1124" s="2">
        <f t="shared" si="5"/>
        <v>-0.02019002375</v>
      </c>
    </row>
    <row r="1125">
      <c r="A1125" s="1" t="s">
        <v>6</v>
      </c>
      <c r="B1125" s="3">
        <f>IFERROR(__xludf.DUMMYFUNCTION("""COMPUTED_VALUE"""),45877.66666666667)</f>
        <v>45877.66667</v>
      </c>
      <c r="C1125" s="2">
        <f>IFERROR(__xludf.DUMMYFUNCTION("""COMPUTED_VALUE"""),7.93)</f>
        <v>7.93</v>
      </c>
      <c r="D1125" s="2">
        <f t="shared" si="5"/>
        <v>-0.03878787879</v>
      </c>
    </row>
    <row r="1126">
      <c r="A1126" s="1" t="s">
        <v>6</v>
      </c>
      <c r="B1126" s="3">
        <f>IFERROR(__xludf.DUMMYFUNCTION("""COMPUTED_VALUE"""),45880.66666666667)</f>
        <v>45880.66667</v>
      </c>
      <c r="C1126" s="2">
        <f>IFERROR(__xludf.DUMMYFUNCTION("""COMPUTED_VALUE"""),8.51)</f>
        <v>8.51</v>
      </c>
      <c r="D1126" s="2">
        <f t="shared" si="5"/>
        <v>0.07313997478</v>
      </c>
    </row>
    <row r="1127">
      <c r="A1127" s="1" t="s">
        <v>6</v>
      </c>
      <c r="B1127" s="3">
        <f>IFERROR(__xludf.DUMMYFUNCTION("""COMPUTED_VALUE"""),45881.66666666667)</f>
        <v>45881.66667</v>
      </c>
      <c r="C1127" s="2">
        <f>IFERROR(__xludf.DUMMYFUNCTION("""COMPUTED_VALUE"""),9.03)</f>
        <v>9.03</v>
      </c>
      <c r="D1127" s="2">
        <f t="shared" si="5"/>
        <v>0.06110458284</v>
      </c>
    </row>
    <row r="1128">
      <c r="A1128" s="1" t="s">
        <v>6</v>
      </c>
      <c r="B1128" s="3">
        <f>IFERROR(__xludf.DUMMYFUNCTION("""COMPUTED_VALUE"""),45882.66666666667)</f>
        <v>45882.66667</v>
      </c>
      <c r="C1128" s="2">
        <f>IFERROR(__xludf.DUMMYFUNCTION("""COMPUTED_VALUE"""),9.16)</f>
        <v>9.16</v>
      </c>
      <c r="D1128" s="2">
        <f t="shared" si="5"/>
        <v>0.01439645626</v>
      </c>
    </row>
    <row r="1129">
      <c r="A1129" s="1" t="s">
        <v>6</v>
      </c>
      <c r="B1129" s="3">
        <f>IFERROR(__xludf.DUMMYFUNCTION("""COMPUTED_VALUE"""),45883.66666666667)</f>
        <v>45883.66667</v>
      </c>
      <c r="C1129" s="2">
        <f>IFERROR(__xludf.DUMMYFUNCTION("""COMPUTED_VALUE"""),9.05)</f>
        <v>9.05</v>
      </c>
      <c r="D1129" s="2">
        <f t="shared" si="5"/>
        <v>-0.01200873362</v>
      </c>
    </row>
    <row r="1130">
      <c r="A1130" s="1" t="s">
        <v>6</v>
      </c>
      <c r="B1130" s="3">
        <f>IFERROR(__xludf.DUMMYFUNCTION("""COMPUTED_VALUE"""),45884.66666666667)</f>
        <v>45884.66667</v>
      </c>
      <c r="C1130" s="2">
        <f>IFERROR(__xludf.DUMMYFUNCTION("""COMPUTED_VALUE"""),8.85)</f>
        <v>8.85</v>
      </c>
      <c r="D1130" s="2">
        <f t="shared" si="5"/>
        <v>-0.02209944751</v>
      </c>
    </row>
    <row r="1131">
      <c r="A1131" s="1" t="s">
        <v>6</v>
      </c>
      <c r="B1131" s="3">
        <f>IFERROR(__xludf.DUMMYFUNCTION("""COMPUTED_VALUE"""),45887.66666666667)</f>
        <v>45887.66667</v>
      </c>
      <c r="C1131" s="2">
        <f>IFERROR(__xludf.DUMMYFUNCTION("""COMPUTED_VALUE"""),9.13)</f>
        <v>9.13</v>
      </c>
      <c r="D1131" s="2">
        <f t="shared" si="5"/>
        <v>0.03163841808</v>
      </c>
    </row>
    <row r="1132">
      <c r="A1132" s="1" t="s">
        <v>6</v>
      </c>
      <c r="B1132" s="3">
        <f>IFERROR(__xludf.DUMMYFUNCTION("""COMPUTED_VALUE"""),45888.66666666667)</f>
        <v>45888.66667</v>
      </c>
      <c r="C1132" s="2">
        <f>IFERROR(__xludf.DUMMYFUNCTION("""COMPUTED_VALUE"""),9.31)</f>
        <v>9.31</v>
      </c>
      <c r="D1132" s="2">
        <f t="shared" si="5"/>
        <v>0.01971522453</v>
      </c>
    </row>
    <row r="1133">
      <c r="A1133" s="1" t="s">
        <v>6</v>
      </c>
      <c r="B1133" s="3">
        <f>IFERROR(__xludf.DUMMYFUNCTION("""COMPUTED_VALUE"""),45889.66666666667)</f>
        <v>45889.66667</v>
      </c>
      <c r="C1133" s="2">
        <f>IFERROR(__xludf.DUMMYFUNCTION("""COMPUTED_VALUE"""),8.9)</f>
        <v>8.9</v>
      </c>
      <c r="D1133" s="2">
        <f t="shared" si="5"/>
        <v>-0.0440386681</v>
      </c>
    </row>
    <row r="1134">
      <c r="A1134" s="1" t="s">
        <v>6</v>
      </c>
      <c r="B1134" s="3">
        <f>IFERROR(__xludf.DUMMYFUNCTION("""COMPUTED_VALUE"""),45890.66666666667)</f>
        <v>45890.66667</v>
      </c>
      <c r="C1134" s="2">
        <f>IFERROR(__xludf.DUMMYFUNCTION("""COMPUTED_VALUE"""),9.65)</f>
        <v>9.65</v>
      </c>
      <c r="D1134" s="2">
        <f t="shared" si="5"/>
        <v>0.08426966292</v>
      </c>
    </row>
    <row r="1135">
      <c r="A1135" s="1" t="s">
        <v>6</v>
      </c>
      <c r="B1135" s="3">
        <f>IFERROR(__xludf.DUMMYFUNCTION("""COMPUTED_VALUE"""),45891.66666666667)</f>
        <v>45891.66667</v>
      </c>
      <c r="C1135" s="2">
        <f>IFERROR(__xludf.DUMMYFUNCTION("""COMPUTED_VALUE"""),9.7)</f>
        <v>9.7</v>
      </c>
      <c r="D1135" s="2">
        <f t="shared" si="5"/>
        <v>0.00518134715</v>
      </c>
    </row>
    <row r="1136">
      <c r="A1136" s="1" t="s">
        <v>6</v>
      </c>
      <c r="B1136" s="3">
        <f>IFERROR(__xludf.DUMMYFUNCTION("""COMPUTED_VALUE"""),45894.66666666667)</f>
        <v>45894.66667</v>
      </c>
      <c r="C1136" s="2">
        <f>IFERROR(__xludf.DUMMYFUNCTION("""COMPUTED_VALUE"""),9.46)</f>
        <v>9.46</v>
      </c>
      <c r="D1136" s="2">
        <f t="shared" si="5"/>
        <v>-0.02474226804</v>
      </c>
    </row>
    <row r="1137">
      <c r="A1137" s="1" t="s">
        <v>6</v>
      </c>
      <c r="B1137" s="3">
        <f>IFERROR(__xludf.DUMMYFUNCTION("""COMPUTED_VALUE"""),45895.66666666667)</f>
        <v>45895.66667</v>
      </c>
      <c r="C1137" s="2">
        <f>IFERROR(__xludf.DUMMYFUNCTION("""COMPUTED_VALUE"""),9.51)</f>
        <v>9.51</v>
      </c>
      <c r="D1137" s="2">
        <f t="shared" si="5"/>
        <v>0.005285412262</v>
      </c>
    </row>
    <row r="1138">
      <c r="A1138" s="1" t="s">
        <v>6</v>
      </c>
      <c r="B1138" s="3">
        <f>IFERROR(__xludf.DUMMYFUNCTION("""COMPUTED_VALUE"""),45896.66666666667)</f>
        <v>45896.66667</v>
      </c>
      <c r="C1138" s="2">
        <f>IFERROR(__xludf.DUMMYFUNCTION("""COMPUTED_VALUE"""),9.12)</f>
        <v>9.12</v>
      </c>
      <c r="D1138" s="2">
        <f t="shared" si="5"/>
        <v>-0.04100946372</v>
      </c>
    </row>
    <row r="1139">
      <c r="A1139" s="1" t="s">
        <v>6</v>
      </c>
      <c r="B1139" s="3">
        <f>IFERROR(__xludf.DUMMYFUNCTION("""COMPUTED_VALUE"""),45897.66666666667)</f>
        <v>45897.66667</v>
      </c>
      <c r="C1139" s="2">
        <f>IFERROR(__xludf.DUMMYFUNCTION("""COMPUTED_VALUE"""),9.44)</f>
        <v>9.44</v>
      </c>
      <c r="D1139" s="2">
        <f t="shared" si="5"/>
        <v>0.0350877193</v>
      </c>
    </row>
    <row r="1140">
      <c r="A1140" s="1" t="s">
        <v>6</v>
      </c>
      <c r="B1140" s="3">
        <f>IFERROR(__xludf.DUMMYFUNCTION("""COMPUTED_VALUE"""),45898.66666666667)</f>
        <v>45898.66667</v>
      </c>
      <c r="C1140" s="2">
        <f>IFERROR(__xludf.DUMMYFUNCTION("""COMPUTED_VALUE"""),9.01)</f>
        <v>9.01</v>
      </c>
      <c r="D1140" s="2">
        <f t="shared" si="5"/>
        <v>-0.04555084746</v>
      </c>
    </row>
    <row r="1141">
      <c r="A1141" s="1" t="s">
        <v>6</v>
      </c>
      <c r="B1141" s="3">
        <f>IFERROR(__xludf.DUMMYFUNCTION("""COMPUTED_VALUE"""),45902.66666666667)</f>
        <v>45902.66667</v>
      </c>
      <c r="C1141" s="2">
        <f>IFERROR(__xludf.DUMMYFUNCTION("""COMPUTED_VALUE"""),8.14)</f>
        <v>8.14</v>
      </c>
      <c r="D1141" s="2">
        <f t="shared" si="5"/>
        <v>-0.09655937847</v>
      </c>
    </row>
    <row r="1142">
      <c r="A1142" s="1" t="s">
        <v>6</v>
      </c>
      <c r="B1142" s="3">
        <f>IFERROR(__xludf.DUMMYFUNCTION("""COMPUTED_VALUE"""),45903.66666666667)</f>
        <v>45903.66667</v>
      </c>
      <c r="C1142" s="2">
        <f>IFERROR(__xludf.DUMMYFUNCTION("""COMPUTED_VALUE"""),8.55)</f>
        <v>8.55</v>
      </c>
      <c r="D1142" s="2">
        <f t="shared" si="5"/>
        <v>0.05036855037</v>
      </c>
    </row>
    <row r="1143">
      <c r="A1143" s="1" t="s">
        <v>6</v>
      </c>
      <c r="B1143" s="3">
        <f>IFERROR(__xludf.DUMMYFUNCTION("""COMPUTED_VALUE"""),45904.66666666667)</f>
        <v>45904.66667</v>
      </c>
      <c r="C1143" s="2">
        <f>IFERROR(__xludf.DUMMYFUNCTION("""COMPUTED_VALUE"""),8.76)</f>
        <v>8.76</v>
      </c>
      <c r="D1143" s="2">
        <f t="shared" si="5"/>
        <v>0.02456140351</v>
      </c>
    </row>
    <row r="1144">
      <c r="A1144" s="1" t="s">
        <v>6</v>
      </c>
      <c r="B1144" s="3">
        <f>IFERROR(__xludf.DUMMYFUNCTION("""COMPUTED_VALUE"""),45905.66666666667)</f>
        <v>45905.66667</v>
      </c>
      <c r="C1144" s="2">
        <f>IFERROR(__xludf.DUMMYFUNCTION("""COMPUTED_VALUE"""),9.88)</f>
        <v>9.88</v>
      </c>
      <c r="D1144" s="2">
        <f t="shared" si="5"/>
        <v>0.1278538813</v>
      </c>
    </row>
    <row r="1145">
      <c r="A1145" s="1" t="s">
        <v>6</v>
      </c>
      <c r="B1145" s="3">
        <f>IFERROR(__xludf.DUMMYFUNCTION("""COMPUTED_VALUE"""),45908.66666666667)</f>
        <v>45908.66667</v>
      </c>
      <c r="C1145" s="2">
        <f>IFERROR(__xludf.DUMMYFUNCTION("""COMPUTED_VALUE"""),10.36)</f>
        <v>10.36</v>
      </c>
      <c r="D1145" s="2">
        <f t="shared" si="5"/>
        <v>0.04858299595</v>
      </c>
    </row>
    <row r="1146">
      <c r="A1146" s="1" t="s">
        <v>6</v>
      </c>
      <c r="B1146" s="3">
        <f>IFERROR(__xludf.DUMMYFUNCTION("""COMPUTED_VALUE"""),45909.66666666667)</f>
        <v>45909.66667</v>
      </c>
      <c r="C1146" s="2">
        <f>IFERROR(__xludf.DUMMYFUNCTION("""COMPUTED_VALUE"""),11.11)</f>
        <v>11.11</v>
      </c>
      <c r="D1146" s="2">
        <f t="shared" si="5"/>
        <v>0.07239382239</v>
      </c>
    </row>
    <row r="1147">
      <c r="A1147" s="1" t="s">
        <v>6</v>
      </c>
      <c r="B1147" s="3">
        <f>IFERROR(__xludf.DUMMYFUNCTION("""COMPUTED_VALUE"""),45910.66666666667)</f>
        <v>45910.66667</v>
      </c>
      <c r="C1147" s="2">
        <f>IFERROR(__xludf.DUMMYFUNCTION("""COMPUTED_VALUE"""),10.32)</f>
        <v>10.32</v>
      </c>
      <c r="D1147" s="2">
        <f t="shared" si="5"/>
        <v>-0.07110711071</v>
      </c>
    </row>
    <row r="1148">
      <c r="A1148" s="1" t="s">
        <v>6</v>
      </c>
      <c r="B1148" s="3">
        <f>IFERROR(__xludf.DUMMYFUNCTION("""COMPUTED_VALUE"""),45911.66666666667)</f>
        <v>45911.66667</v>
      </c>
      <c r="C1148" s="2">
        <f>IFERROR(__xludf.DUMMYFUNCTION("""COMPUTED_VALUE"""),10.57)</f>
        <v>10.57</v>
      </c>
      <c r="D1148" s="2">
        <f t="shared" si="5"/>
        <v>0.0242248062</v>
      </c>
    </row>
    <row r="1149">
      <c r="A1149" s="1" t="s">
        <v>6</v>
      </c>
      <c r="B1149" s="3">
        <f>IFERROR(__xludf.DUMMYFUNCTION("""COMPUTED_VALUE"""),45912.66666666667)</f>
        <v>45912.66667</v>
      </c>
      <c r="C1149" s="2">
        <f>IFERROR(__xludf.DUMMYFUNCTION("""COMPUTED_VALUE"""),10.39)</f>
        <v>10.39</v>
      </c>
      <c r="D1149" s="2">
        <f t="shared" si="5"/>
        <v>-0.01702932829</v>
      </c>
    </row>
    <row r="1150">
      <c r="A1150" s="1" t="s">
        <v>6</v>
      </c>
      <c r="B1150" s="3">
        <f>IFERROR(__xludf.DUMMYFUNCTION("""COMPUTED_VALUE"""),45915.66666666667)</f>
        <v>45915.66667</v>
      </c>
      <c r="C1150" s="2">
        <f>IFERROR(__xludf.DUMMYFUNCTION("""COMPUTED_VALUE"""),10.26)</f>
        <v>10.26</v>
      </c>
      <c r="D1150" s="2">
        <f t="shared" si="5"/>
        <v>-0.0125120308</v>
      </c>
    </row>
    <row r="1151">
      <c r="A1151" s="1" t="s">
        <v>6</v>
      </c>
      <c r="B1151" s="3">
        <f>IFERROR(__xludf.DUMMYFUNCTION("""COMPUTED_VALUE"""),45916.66666666667)</f>
        <v>45916.66667</v>
      </c>
      <c r="C1151" s="2">
        <f>IFERROR(__xludf.DUMMYFUNCTION("""COMPUTED_VALUE"""),9.81)</f>
        <v>9.81</v>
      </c>
      <c r="D1151" s="2">
        <f t="shared" si="5"/>
        <v>-0.04385964912</v>
      </c>
    </row>
    <row r="1152">
      <c r="A1152" s="1" t="s">
        <v>6</v>
      </c>
      <c r="B1152" s="3">
        <f>IFERROR(__xludf.DUMMYFUNCTION("""COMPUTED_VALUE"""),45917.66666666667)</f>
        <v>45917.66667</v>
      </c>
      <c r="C1152" s="2">
        <f>IFERROR(__xludf.DUMMYFUNCTION("""COMPUTED_VALUE"""),9.81)</f>
        <v>9.81</v>
      </c>
      <c r="D1152" s="2">
        <f t="shared" si="5"/>
        <v>0</v>
      </c>
    </row>
    <row r="1153">
      <c r="A1153" s="1" t="s">
        <v>6</v>
      </c>
      <c r="B1153" s="3">
        <f>IFERROR(__xludf.DUMMYFUNCTION("""COMPUTED_VALUE"""),45918.66666666667)</f>
        <v>45918.66667</v>
      </c>
      <c r="C1153" s="2">
        <f>IFERROR(__xludf.DUMMYFUNCTION("""COMPUTED_VALUE"""),9.76)</f>
        <v>9.76</v>
      </c>
      <c r="D1153" s="2">
        <f t="shared" si="5"/>
        <v>-0.005096839959</v>
      </c>
    </row>
    <row r="1154">
      <c r="A1154" s="1" t="s">
        <v>6</v>
      </c>
      <c r="B1154" s="3">
        <f>IFERROR(__xludf.DUMMYFUNCTION("""COMPUTED_VALUE"""),45919.66666666667)</f>
        <v>45919.66667</v>
      </c>
      <c r="C1154" s="2">
        <f>IFERROR(__xludf.DUMMYFUNCTION("""COMPUTED_VALUE"""),9.52)</f>
        <v>9.52</v>
      </c>
      <c r="D1154" s="2">
        <f t="shared" si="5"/>
        <v>-0.02459016393</v>
      </c>
    </row>
    <row r="1155">
      <c r="A1155" s="1" t="s">
        <v>6</v>
      </c>
      <c r="B1155" s="3">
        <f>IFERROR(__xludf.DUMMYFUNCTION("""COMPUTED_VALUE"""),45922.66666666667)</f>
        <v>45922.66667</v>
      </c>
      <c r="C1155" s="2">
        <f>IFERROR(__xludf.DUMMYFUNCTION("""COMPUTED_VALUE"""),9.38)</f>
        <v>9.38</v>
      </c>
      <c r="D1155" s="2">
        <f t="shared" si="5"/>
        <v>-0.01470588235</v>
      </c>
    </row>
    <row r="1156">
      <c r="A1156" s="1" t="s">
        <v>6</v>
      </c>
      <c r="B1156" s="3">
        <f>IFERROR(__xludf.DUMMYFUNCTION("""COMPUTED_VALUE"""),45923.66666666667)</f>
        <v>45923.66667</v>
      </c>
      <c r="C1156" s="2">
        <f>IFERROR(__xludf.DUMMYFUNCTION("""COMPUTED_VALUE"""),9.0)</f>
        <v>9</v>
      </c>
      <c r="D1156" s="2">
        <f t="shared" si="5"/>
        <v>-0.04051172708</v>
      </c>
    </row>
    <row r="1157">
      <c r="A1157" s="1" t="s">
        <v>6</v>
      </c>
      <c r="B1157" s="3">
        <f>IFERROR(__xludf.DUMMYFUNCTION("""COMPUTED_VALUE"""),45924.66666666667)</f>
        <v>45924.66667</v>
      </c>
      <c r="C1157" s="2">
        <f>IFERROR(__xludf.DUMMYFUNCTION("""COMPUTED_VALUE"""),9.18)</f>
        <v>9.18</v>
      </c>
      <c r="D1157" s="2">
        <f t="shared" si="5"/>
        <v>0.02</v>
      </c>
    </row>
    <row r="1158">
      <c r="A1158" s="1" t="s">
        <v>6</v>
      </c>
      <c r="B1158" s="3">
        <f>IFERROR(__xludf.DUMMYFUNCTION("""COMPUTED_VALUE"""),45925.66666666667)</f>
        <v>45925.66667</v>
      </c>
      <c r="C1158" s="2">
        <f>IFERROR(__xludf.DUMMYFUNCTION("""COMPUTED_VALUE"""),9.1)</f>
        <v>9.1</v>
      </c>
      <c r="D1158" s="2">
        <f t="shared" si="5"/>
        <v>-0.00871459695</v>
      </c>
    </row>
    <row r="1159">
      <c r="A1159" s="1" t="s">
        <v>6</v>
      </c>
      <c r="B1159" s="3">
        <f>IFERROR(__xludf.DUMMYFUNCTION("""COMPUTED_VALUE"""),45926.66666666667)</f>
        <v>45926.66667</v>
      </c>
      <c r="C1159" s="2">
        <f>IFERROR(__xludf.DUMMYFUNCTION("""COMPUTED_VALUE"""),9.4)</f>
        <v>9.4</v>
      </c>
      <c r="D1159" s="2">
        <f t="shared" si="5"/>
        <v>0.03296703297</v>
      </c>
    </row>
    <row r="1160">
      <c r="A1160" s="1" t="s">
        <v>6</v>
      </c>
      <c r="B1160" s="3">
        <f>IFERROR(__xludf.DUMMYFUNCTION("""COMPUTED_VALUE"""),45929.66666666667)</f>
        <v>45929.66667</v>
      </c>
      <c r="C1160" s="2">
        <f>IFERROR(__xludf.DUMMYFUNCTION("""COMPUTED_VALUE"""),9.23)</f>
        <v>9.23</v>
      </c>
      <c r="D1160" s="2">
        <f t="shared" si="5"/>
        <v>-0.01808510638</v>
      </c>
    </row>
    <row r="1161">
      <c r="A1161" s="1" t="s">
        <v>6</v>
      </c>
      <c r="B1161" s="3">
        <f>IFERROR(__xludf.DUMMYFUNCTION("""COMPUTED_VALUE"""),45930.66666666667)</f>
        <v>45930.66667</v>
      </c>
      <c r="C1161" s="2">
        <f>IFERROR(__xludf.DUMMYFUNCTION("""COMPUTED_VALUE"""),9.79)</f>
        <v>9.79</v>
      </c>
      <c r="D1161" s="2">
        <f t="shared" si="5"/>
        <v>0.06067172264</v>
      </c>
    </row>
    <row r="1162">
      <c r="A1162" s="1" t="s">
        <v>6</v>
      </c>
      <c r="B1162" s="3">
        <f>IFERROR(__xludf.DUMMYFUNCTION("""COMPUTED_VALUE"""),45931.66666666667)</f>
        <v>45931.66667</v>
      </c>
      <c r="C1162" s="2">
        <f>IFERROR(__xludf.DUMMYFUNCTION("""COMPUTED_VALUE"""),9.99)</f>
        <v>9.99</v>
      </c>
      <c r="D1162" s="2">
        <f t="shared" si="5"/>
        <v>0.02042900919</v>
      </c>
    </row>
    <row r="1163">
      <c r="A1163" s="1" t="s">
        <v>6</v>
      </c>
      <c r="B1163" s="3">
        <f>IFERROR(__xludf.DUMMYFUNCTION("""COMPUTED_VALUE"""),45932.66666666667)</f>
        <v>45932.66667</v>
      </c>
      <c r="C1163" s="2">
        <f>IFERROR(__xludf.DUMMYFUNCTION("""COMPUTED_VALUE"""),11.75)</f>
        <v>11.75</v>
      </c>
      <c r="D1163" s="2">
        <f t="shared" si="5"/>
        <v>0.1761761762</v>
      </c>
    </row>
    <row r="1164">
      <c r="A1164" s="1" t="s">
        <v>6</v>
      </c>
      <c r="B1164" s="3">
        <f>IFERROR(__xludf.DUMMYFUNCTION("""COMPUTED_VALUE"""),45933.66666666667)</f>
        <v>45933.66667</v>
      </c>
      <c r="C1164" s="2">
        <f>IFERROR(__xludf.DUMMYFUNCTION("""COMPUTED_VALUE"""),12.02)</f>
        <v>12.02</v>
      </c>
      <c r="D1164" s="2">
        <f t="shared" si="5"/>
        <v>0.0229787234</v>
      </c>
    </row>
    <row r="1165">
      <c r="A1165" s="1" t="s">
        <v>6</v>
      </c>
      <c r="B1165" s="3">
        <f>IFERROR(__xludf.DUMMYFUNCTION("""COMPUTED_VALUE"""),45936.66666666667)</f>
        <v>45936.66667</v>
      </c>
      <c r="C1165" s="2">
        <f>IFERROR(__xludf.DUMMYFUNCTION("""COMPUTED_VALUE"""),12.11)</f>
        <v>12.11</v>
      </c>
      <c r="D1165" s="2">
        <f t="shared" si="5"/>
        <v>0.007487520799</v>
      </c>
    </row>
    <row r="1166">
      <c r="A1166" s="1" t="s">
        <v>6</v>
      </c>
      <c r="B1166" s="3">
        <f>IFERROR(__xludf.DUMMYFUNCTION("""COMPUTED_VALUE"""),45937.66666666667)</f>
        <v>45937.66667</v>
      </c>
      <c r="C1166" s="2">
        <f>IFERROR(__xludf.DUMMYFUNCTION("""COMPUTED_VALUE"""),11.03)</f>
        <v>11.03</v>
      </c>
      <c r="D1166" s="2">
        <f t="shared" si="5"/>
        <v>-0.08918249381</v>
      </c>
    </row>
    <row r="1167">
      <c r="A1167" s="1" t="s">
        <v>6</v>
      </c>
      <c r="B1167" s="3">
        <f>IFERROR(__xludf.DUMMYFUNCTION("""COMPUTED_VALUE"""),45938.66666666667)</f>
        <v>45938.66667</v>
      </c>
      <c r="C1167" s="2">
        <f>IFERROR(__xludf.DUMMYFUNCTION("""COMPUTED_VALUE"""),11.14)</f>
        <v>11.14</v>
      </c>
      <c r="D1167" s="2">
        <f t="shared" si="5"/>
        <v>0.009972801451</v>
      </c>
    </row>
    <row r="1168">
      <c r="A1168" s="1" t="s">
        <v>6</v>
      </c>
      <c r="B1168" s="3">
        <f>IFERROR(__xludf.DUMMYFUNCTION("""COMPUTED_VALUE"""),45939.66666666667)</f>
        <v>45939.66667</v>
      </c>
      <c r="C1168" s="2">
        <f>IFERROR(__xludf.DUMMYFUNCTION("""COMPUTED_VALUE"""),10.14)</f>
        <v>10.14</v>
      </c>
      <c r="D1168" s="2">
        <f t="shared" si="5"/>
        <v>-0.08976660682</v>
      </c>
    </row>
    <row r="1169">
      <c r="A1169" s="1" t="s">
        <v>6</v>
      </c>
      <c r="B1169" s="3">
        <f>IFERROR(__xludf.DUMMYFUNCTION("""COMPUTED_VALUE"""),45940.66666666667)</f>
        <v>45940.66667</v>
      </c>
      <c r="C1169" s="2">
        <f>IFERROR(__xludf.DUMMYFUNCTION("""COMPUTED_VALUE"""),8.76)</f>
        <v>8.76</v>
      </c>
      <c r="D1169" s="2">
        <f t="shared" si="5"/>
        <v>-0.1360946746</v>
      </c>
    </row>
    <row r="1170">
      <c r="A1170" s="1" t="s">
        <v>6</v>
      </c>
      <c r="B1170" s="3">
        <f>IFERROR(__xludf.DUMMYFUNCTION("""COMPUTED_VALUE"""),45943.66666666667)</f>
        <v>45943.66667</v>
      </c>
      <c r="C1170" s="2">
        <f>IFERROR(__xludf.DUMMYFUNCTION("""COMPUTED_VALUE"""),8.65)</f>
        <v>8.65</v>
      </c>
      <c r="D1170" s="2">
        <f t="shared" si="5"/>
        <v>-0.01255707763</v>
      </c>
    </row>
    <row r="1171">
      <c r="A1171" s="1" t="s">
        <v>6</v>
      </c>
      <c r="B1171" s="3">
        <f>IFERROR(__xludf.DUMMYFUNCTION("""COMPUTED_VALUE"""),45944.66666666667)</f>
        <v>45944.66667</v>
      </c>
      <c r="C1171" s="2">
        <f>IFERROR(__xludf.DUMMYFUNCTION("""COMPUTED_VALUE"""),9.03)</f>
        <v>9.03</v>
      </c>
      <c r="D1171" s="2">
        <f t="shared" si="5"/>
        <v>0.04393063584</v>
      </c>
    </row>
    <row r="1172">
      <c r="A1172" s="1" t="s">
        <v>6</v>
      </c>
      <c r="B1172" s="3">
        <f>IFERROR(__xludf.DUMMYFUNCTION("""COMPUTED_VALUE"""),45945.66666666667)</f>
        <v>45945.66667</v>
      </c>
      <c r="C1172" s="2">
        <f>IFERROR(__xludf.DUMMYFUNCTION("""COMPUTED_VALUE"""),8.28)</f>
        <v>8.28</v>
      </c>
      <c r="D1172" s="2">
        <f t="shared" si="5"/>
        <v>-0.08305647841</v>
      </c>
    </row>
    <row r="1173">
      <c r="A1173" s="1" t="s">
        <v>6</v>
      </c>
      <c r="B1173" s="3">
        <f>IFERROR(__xludf.DUMMYFUNCTION("""COMPUTED_VALUE"""),45946.66666666667)</f>
        <v>45946.66667</v>
      </c>
      <c r="C1173" s="2">
        <f>IFERROR(__xludf.DUMMYFUNCTION("""COMPUTED_VALUE"""),7.95)</f>
        <v>7.95</v>
      </c>
      <c r="D1173" s="2">
        <f t="shared" si="5"/>
        <v>-0.03985507246</v>
      </c>
    </row>
    <row r="1174">
      <c r="A1174" s="1" t="s">
        <v>6</v>
      </c>
      <c r="B1174" s="3">
        <f>IFERROR(__xludf.DUMMYFUNCTION("""COMPUTED_VALUE"""),45947.66666666667)</f>
        <v>45947.66667</v>
      </c>
      <c r="C1174" s="2">
        <f>IFERROR(__xludf.DUMMYFUNCTION("""COMPUTED_VALUE"""),7.87)</f>
        <v>7.87</v>
      </c>
      <c r="D1174" s="2">
        <f t="shared" si="5"/>
        <v>-0.01006289308</v>
      </c>
    </row>
    <row r="1175">
      <c r="A1175" s="1" t="s">
        <v>6</v>
      </c>
      <c r="B1175" s="3">
        <f>IFERROR(__xludf.DUMMYFUNCTION("""COMPUTED_VALUE"""),45950.66666666667)</f>
        <v>45950.66667</v>
      </c>
      <c r="C1175" s="2">
        <f>IFERROR(__xludf.DUMMYFUNCTION("""COMPUTED_VALUE"""),8.53)</f>
        <v>8.53</v>
      </c>
      <c r="D1175" s="2">
        <f t="shared" si="5"/>
        <v>0.08386277001</v>
      </c>
    </row>
    <row r="1176">
      <c r="A1176" s="1" t="s">
        <v>6</v>
      </c>
      <c r="B1176" s="3">
        <f>IFERROR(__xludf.DUMMYFUNCTION("""COMPUTED_VALUE"""),45951.66666666667)</f>
        <v>45951.66667</v>
      </c>
      <c r="C1176" s="2">
        <f>IFERROR(__xludf.DUMMYFUNCTION("""COMPUTED_VALUE"""),8.38)</f>
        <v>8.38</v>
      </c>
      <c r="D1176" s="2">
        <f t="shared" si="5"/>
        <v>-0.01758499414</v>
      </c>
    </row>
    <row r="1177">
      <c r="A1177" s="1" t="s">
        <v>6</v>
      </c>
      <c r="B1177" s="3">
        <f>IFERROR(__xludf.DUMMYFUNCTION("""COMPUTED_VALUE"""),45952.66666666667)</f>
        <v>45952.66667</v>
      </c>
      <c r="C1177" s="2">
        <f>IFERROR(__xludf.DUMMYFUNCTION("""COMPUTED_VALUE"""),8.24)</f>
        <v>8.24</v>
      </c>
      <c r="D1177" s="2">
        <f t="shared" si="5"/>
        <v>-0.01670644391</v>
      </c>
    </row>
    <row r="1178">
      <c r="A1178" s="1" t="s">
        <v>6</v>
      </c>
      <c r="B1178" s="3">
        <f>IFERROR(__xludf.DUMMYFUNCTION("""COMPUTED_VALUE"""),45953.66666666667)</f>
        <v>45953.66667</v>
      </c>
      <c r="C1178" s="2">
        <f>IFERROR(__xludf.DUMMYFUNCTION("""COMPUTED_VALUE"""),8.41)</f>
        <v>8.41</v>
      </c>
      <c r="D1178" s="2">
        <f t="shared" si="5"/>
        <v>0.02063106796</v>
      </c>
    </row>
    <row r="1179">
      <c r="A1179" s="1" t="s">
        <v>6</v>
      </c>
      <c r="B1179" s="3">
        <f>IFERROR(__xludf.DUMMYFUNCTION("""COMPUTED_VALUE"""),45954.66666666667)</f>
        <v>45954.66667</v>
      </c>
      <c r="C1179" s="2">
        <f>IFERROR(__xludf.DUMMYFUNCTION("""COMPUTED_VALUE"""),8.57)</f>
        <v>8.57</v>
      </c>
      <c r="D1179" s="2">
        <f t="shared" si="5"/>
        <v>0.01902497027</v>
      </c>
    </row>
    <row r="1180">
      <c r="A1180" s="1" t="s">
        <v>6</v>
      </c>
      <c r="B1180" s="3">
        <f>IFERROR(__xludf.DUMMYFUNCTION("""COMPUTED_VALUE"""),45957.66666666667)</f>
        <v>45957.66667</v>
      </c>
      <c r="C1180" s="2">
        <f>IFERROR(__xludf.DUMMYFUNCTION("""COMPUTED_VALUE"""),8.6)</f>
        <v>8.6</v>
      </c>
      <c r="D1180" s="2">
        <f t="shared" si="5"/>
        <v>0.003500583431</v>
      </c>
    </row>
    <row r="1181">
      <c r="A1181" s="1" t="s">
        <v>6</v>
      </c>
      <c r="B1181" s="3">
        <f>IFERROR(__xludf.DUMMYFUNCTION("""COMPUTED_VALUE"""),45958.66666666667)</f>
        <v>45958.66667</v>
      </c>
      <c r="C1181" s="2">
        <f>IFERROR(__xludf.DUMMYFUNCTION("""COMPUTED_VALUE"""),8.39)</f>
        <v>8.39</v>
      </c>
      <c r="D1181" s="2">
        <f t="shared" si="5"/>
        <v>-0.02441860465</v>
      </c>
    </row>
    <row r="1182">
      <c r="A1182" s="1" t="s">
        <v>6</v>
      </c>
      <c r="B1182" s="3">
        <f>IFERROR(__xludf.DUMMYFUNCTION("""COMPUTED_VALUE"""),45959.66666666667)</f>
        <v>45959.66667</v>
      </c>
      <c r="C1182" s="2">
        <f>IFERROR(__xludf.DUMMYFUNCTION("""COMPUTED_VALUE"""),8.19)</f>
        <v>8.19</v>
      </c>
      <c r="D1182" s="2">
        <f t="shared" si="5"/>
        <v>-0.02383790226</v>
      </c>
    </row>
    <row r="1183">
      <c r="A1183" s="1" t="s">
        <v>6</v>
      </c>
      <c r="B1183" s="3">
        <f>IFERROR(__xludf.DUMMYFUNCTION("""COMPUTED_VALUE"""),45960.66666666667)</f>
        <v>45960.66667</v>
      </c>
      <c r="C1183" s="2">
        <f>IFERROR(__xludf.DUMMYFUNCTION("""COMPUTED_VALUE"""),7.65)</f>
        <v>7.65</v>
      </c>
      <c r="D1183" s="2">
        <f t="shared" si="5"/>
        <v>-0.06593406593</v>
      </c>
    </row>
    <row r="1184">
      <c r="A1184" s="1" t="s">
        <v>6</v>
      </c>
      <c r="B1184" s="3">
        <f>IFERROR(__xludf.DUMMYFUNCTION("""COMPUTED_VALUE"""),45961.66666666667)</f>
        <v>45961.66667</v>
      </c>
      <c r="C1184" s="2">
        <f>IFERROR(__xludf.DUMMYFUNCTION("""COMPUTED_VALUE"""),7.71)</f>
        <v>7.71</v>
      </c>
      <c r="D1184" s="2">
        <f t="shared" si="5"/>
        <v>0.007843137255</v>
      </c>
    </row>
    <row r="1185">
      <c r="A1185" s="1" t="s">
        <v>6</v>
      </c>
      <c r="B1185" s="3">
        <f>IFERROR(__xludf.DUMMYFUNCTION("""COMPUTED_VALUE"""),45964.66666666667)</f>
        <v>45964.66667</v>
      </c>
      <c r="C1185" s="2">
        <f>IFERROR(__xludf.DUMMYFUNCTION("""COMPUTED_VALUE"""),7.63)</f>
        <v>7.63</v>
      </c>
      <c r="D1185" s="2">
        <f t="shared" si="5"/>
        <v>-0.01037613489</v>
      </c>
    </row>
    <row r="1186">
      <c r="A1186" s="1" t="s">
        <v>6</v>
      </c>
      <c r="B1186" s="3">
        <f>IFERROR(__xludf.DUMMYFUNCTION("""COMPUTED_VALUE"""),45965.66666666667)</f>
        <v>45965.66667</v>
      </c>
      <c r="C1186" s="2">
        <f>IFERROR(__xludf.DUMMYFUNCTION("""COMPUTED_VALUE"""),7.39)</f>
        <v>7.39</v>
      </c>
      <c r="D1186" s="2">
        <f t="shared" si="5"/>
        <v>-0.03145478375</v>
      </c>
    </row>
    <row r="1187">
      <c r="A1187" s="1" t="s">
        <v>6</v>
      </c>
      <c r="B1187" s="3">
        <f>IFERROR(__xludf.DUMMYFUNCTION("""COMPUTED_VALUE"""),45966.66666666667)</f>
        <v>45966.66667</v>
      </c>
      <c r="C1187" s="2">
        <f>IFERROR(__xludf.DUMMYFUNCTION("""COMPUTED_VALUE"""),7.39)</f>
        <v>7.39</v>
      </c>
      <c r="D1187" s="2">
        <f t="shared" si="5"/>
        <v>0</v>
      </c>
    </row>
    <row r="1188">
      <c r="A1188" s="1" t="s">
        <v>6</v>
      </c>
      <c r="B1188" s="3">
        <f>IFERROR(__xludf.DUMMYFUNCTION("""COMPUTED_VALUE"""),45967.66666666667)</f>
        <v>45967.66667</v>
      </c>
      <c r="C1188" s="2">
        <f>IFERROR(__xludf.DUMMYFUNCTION("""COMPUTED_VALUE"""),6.73)</f>
        <v>6.73</v>
      </c>
      <c r="D1188" s="2">
        <f t="shared" si="5"/>
        <v>-0.08930987821</v>
      </c>
    </row>
    <row r="1189">
      <c r="A1189" s="1" t="s">
        <v>6</v>
      </c>
      <c r="B1189" s="3">
        <f>IFERROR(__xludf.DUMMYFUNCTION("""COMPUTED_VALUE"""),45968.66666666667)</f>
        <v>45968.66667</v>
      </c>
      <c r="C1189" s="2">
        <f>IFERROR(__xludf.DUMMYFUNCTION("""COMPUTED_VALUE"""),6.99)</f>
        <v>6.99</v>
      </c>
      <c r="D1189" s="2">
        <f t="shared" si="5"/>
        <v>0.03863298663</v>
      </c>
    </row>
    <row r="1190">
      <c r="A1190" s="1" t="s">
        <v>6</v>
      </c>
      <c r="B1190" s="3">
        <f>IFERROR(__xludf.DUMMYFUNCTION("""COMPUTED_VALUE"""),45971.66666666667)</f>
        <v>45971.66667</v>
      </c>
      <c r="C1190" s="2">
        <f>IFERROR(__xludf.DUMMYFUNCTION("""COMPUTED_VALUE"""),7.13)</f>
        <v>7.13</v>
      </c>
      <c r="D1190" s="2">
        <f t="shared" si="5"/>
        <v>0.0200286123</v>
      </c>
    </row>
    <row r="1191">
      <c r="A1191" s="1" t="s">
        <v>6</v>
      </c>
      <c r="B1191" s="3">
        <f>IFERROR(__xludf.DUMMYFUNCTION("""COMPUTED_VALUE"""),45972.66666666667)</f>
        <v>45972.66667</v>
      </c>
      <c r="C1191" s="2">
        <f>IFERROR(__xludf.DUMMYFUNCTION("""COMPUTED_VALUE"""),7.14)</f>
        <v>7.14</v>
      </c>
      <c r="D1191" s="2">
        <f t="shared" si="5"/>
        <v>0.001402524544</v>
      </c>
    </row>
    <row r="1192">
      <c r="A1192" s="1" t="s">
        <v>6</v>
      </c>
      <c r="B1192" s="3">
        <f>IFERROR(__xludf.DUMMYFUNCTION("""COMPUTED_VALUE"""),45973.66666666667)</f>
        <v>45973.66667</v>
      </c>
      <c r="C1192" s="2">
        <f>IFERROR(__xludf.DUMMYFUNCTION("""COMPUTED_VALUE"""),6.76)</f>
        <v>6.76</v>
      </c>
      <c r="D1192" s="2">
        <f t="shared" si="5"/>
        <v>-0.05322128852</v>
      </c>
    </row>
    <row r="1193">
      <c r="A1193" s="1" t="s">
        <v>6</v>
      </c>
      <c r="B1193" s="3">
        <f>IFERROR(__xludf.DUMMYFUNCTION("""COMPUTED_VALUE"""),45974.66666666667)</f>
        <v>45974.66667</v>
      </c>
      <c r="C1193" s="2">
        <f>IFERROR(__xludf.DUMMYFUNCTION("""COMPUTED_VALUE"""),6.37)</f>
        <v>6.37</v>
      </c>
      <c r="D1193" s="2">
        <f t="shared" si="5"/>
        <v>-0.05769230769</v>
      </c>
    </row>
    <row r="1194">
      <c r="A1194" s="1" t="s">
        <v>6</v>
      </c>
      <c r="B1194" s="3">
        <f>IFERROR(__xludf.DUMMYFUNCTION("""COMPUTED_VALUE"""),45975.66666666667)</f>
        <v>45975.66667</v>
      </c>
      <c r="C1194" s="2">
        <f>IFERROR(__xludf.DUMMYFUNCTION("""COMPUTED_VALUE"""),6.03)</f>
        <v>6.03</v>
      </c>
      <c r="D1194" s="2">
        <f t="shared" si="5"/>
        <v>-0.05337519623</v>
      </c>
    </row>
    <row r="1195">
      <c r="A1195" s="1" t="s">
        <v>6</v>
      </c>
      <c r="B1195" s="3">
        <f>IFERROR(__xludf.DUMMYFUNCTION("""COMPUTED_VALUE"""),45978.66666666667)</f>
        <v>45978.66667</v>
      </c>
      <c r="C1195" s="2">
        <f>IFERROR(__xludf.DUMMYFUNCTION("""COMPUTED_VALUE"""),5.78)</f>
        <v>5.78</v>
      </c>
      <c r="D1195" s="2">
        <f t="shared" si="5"/>
        <v>-0.04145936982</v>
      </c>
    </row>
    <row r="1196">
      <c r="A1196" s="1" t="s">
        <v>6</v>
      </c>
      <c r="B1196" s="3">
        <f>IFERROR(__xludf.DUMMYFUNCTION("""COMPUTED_VALUE"""),45979.66666666667)</f>
        <v>45979.66667</v>
      </c>
      <c r="C1196" s="2">
        <f>IFERROR(__xludf.DUMMYFUNCTION("""COMPUTED_VALUE"""),5.9)</f>
        <v>5.9</v>
      </c>
      <c r="D1196" s="2">
        <f t="shared" si="5"/>
        <v>0.02076124567</v>
      </c>
    </row>
    <row r="1197">
      <c r="A1197" s="1" t="s">
        <v>6</v>
      </c>
      <c r="B1197" s="3">
        <f>IFERROR(__xludf.DUMMYFUNCTION("""COMPUTED_VALUE"""),45980.66666666667)</f>
        <v>45980.66667</v>
      </c>
      <c r="C1197" s="2">
        <f>IFERROR(__xludf.DUMMYFUNCTION("""COMPUTED_VALUE"""),5.72)</f>
        <v>5.72</v>
      </c>
      <c r="D1197" s="2">
        <f t="shared" si="5"/>
        <v>-0.03050847458</v>
      </c>
    </row>
    <row r="1198">
      <c r="A1198" s="1" t="s">
        <v>6</v>
      </c>
      <c r="B1198" s="3">
        <f>IFERROR(__xludf.DUMMYFUNCTION("""COMPUTED_VALUE"""),45981.66666666667)</f>
        <v>45981.66667</v>
      </c>
      <c r="C1198" s="2">
        <f>IFERROR(__xludf.DUMMYFUNCTION("""COMPUTED_VALUE"""),5.55)</f>
        <v>5.55</v>
      </c>
      <c r="D1198" s="2">
        <f t="shared" si="5"/>
        <v>-0.02972027972</v>
      </c>
    </row>
    <row r="1199">
      <c r="A1199" s="1" t="s">
        <v>6</v>
      </c>
      <c r="B1199" s="3">
        <f>IFERROR(__xludf.DUMMYFUNCTION("""COMPUTED_VALUE"""),45982.66666666667)</f>
        <v>45982.66667</v>
      </c>
      <c r="C1199" s="2">
        <f>IFERROR(__xludf.DUMMYFUNCTION("""COMPUTED_VALUE"""),5.56)</f>
        <v>5.56</v>
      </c>
      <c r="D1199" s="2">
        <f t="shared" si="5"/>
        <v>0.001801801802</v>
      </c>
    </row>
    <row r="1200">
      <c r="A1200" s="1" t="s">
        <v>6</v>
      </c>
      <c r="B1200" s="3">
        <f>IFERROR(__xludf.DUMMYFUNCTION("""COMPUTED_VALUE"""),45985.66666666667)</f>
        <v>45985.66667</v>
      </c>
      <c r="C1200" s="2">
        <f>IFERROR(__xludf.DUMMYFUNCTION("""COMPUTED_VALUE"""),5.63)</f>
        <v>5.63</v>
      </c>
      <c r="D1200" s="2">
        <f t="shared" si="5"/>
        <v>0.01258992806</v>
      </c>
    </row>
    <row r="1201">
      <c r="A1201" s="1" t="s">
        <v>6</v>
      </c>
      <c r="B1201" s="3">
        <f>IFERROR(__xludf.DUMMYFUNCTION("""COMPUTED_VALUE"""),45986.66666666667)</f>
        <v>45986.66667</v>
      </c>
      <c r="C1201" s="2">
        <f>IFERROR(__xludf.DUMMYFUNCTION("""COMPUTED_VALUE"""),5.68)</f>
        <v>5.68</v>
      </c>
      <c r="D1201" s="2">
        <f t="shared" si="5"/>
        <v>0.008880994671</v>
      </c>
    </row>
    <row r="1202">
      <c r="A1202" s="1" t="s">
        <v>6</v>
      </c>
      <c r="B1202" s="3">
        <f>IFERROR(__xludf.DUMMYFUNCTION("""COMPUTED_VALUE"""),45987.66666666667)</f>
        <v>45987.66667</v>
      </c>
      <c r="C1202" s="2">
        <f>IFERROR(__xludf.DUMMYFUNCTION("""COMPUTED_VALUE"""),5.84)</f>
        <v>5.84</v>
      </c>
      <c r="D1202" s="2">
        <f t="shared" si="5"/>
        <v>0.02816901408</v>
      </c>
    </row>
    <row r="1203">
      <c r="A1203" s="1" t="s">
        <v>6</v>
      </c>
      <c r="B1203" s="3">
        <f>IFERROR(__xludf.DUMMYFUNCTION("""COMPUTED_VALUE"""),45989.54166666667)</f>
        <v>45989.54167</v>
      </c>
      <c r="C1203" s="2">
        <f>IFERROR(__xludf.DUMMYFUNCTION("""COMPUTED_VALUE"""),6.02)</f>
        <v>6.02</v>
      </c>
      <c r="D1203" s="2">
        <f t="shared" si="5"/>
        <v>0.03082191781</v>
      </c>
    </row>
    <row r="1204">
      <c r="A1204" s="1" t="s">
        <v>6</v>
      </c>
      <c r="B1204" s="3">
        <f>IFERROR(__xludf.DUMMYFUNCTION("""COMPUTED_VALUE"""),45992.66666666667)</f>
        <v>45992.66667</v>
      </c>
      <c r="C1204" s="2">
        <f>IFERROR(__xludf.DUMMYFUNCTION("""COMPUTED_VALUE"""),5.82)</f>
        <v>5.82</v>
      </c>
      <c r="D1204" s="2">
        <f t="shared" si="5"/>
        <v>-0.03322259136</v>
      </c>
    </row>
    <row r="1205">
      <c r="A1205" s="1" t="s">
        <v>6</v>
      </c>
      <c r="B1205" s="3">
        <f>IFERROR(__xludf.DUMMYFUNCTION("""COMPUTED_VALUE"""),45993.66666666667)</f>
        <v>45993.66667</v>
      </c>
      <c r="C1205" s="2">
        <f>IFERROR(__xludf.DUMMYFUNCTION("""COMPUTED_VALUE"""),5.99)</f>
        <v>5.99</v>
      </c>
      <c r="D1205" s="2">
        <f t="shared" si="5"/>
        <v>0.02920962199</v>
      </c>
    </row>
    <row r="1206">
      <c r="A1206" s="1" t="s">
        <v>6</v>
      </c>
      <c r="B1206" s="3">
        <f>IFERROR(__xludf.DUMMYFUNCTION("""COMPUTED_VALUE"""),45994.66666666667)</f>
        <v>45994.66667</v>
      </c>
      <c r="C1206" s="2">
        <f>IFERROR(__xludf.DUMMYFUNCTION("""COMPUTED_VALUE"""),6.59)</f>
        <v>6.59</v>
      </c>
      <c r="D1206" s="2">
        <f t="shared" si="5"/>
        <v>0.1001669449</v>
      </c>
    </row>
    <row r="1207">
      <c r="A1207" s="1" t="s">
        <v>6</v>
      </c>
      <c r="B1207" s="3">
        <f>IFERROR(__xludf.DUMMYFUNCTION("""COMPUTED_VALUE"""),45995.66666666667)</f>
        <v>45995.66667</v>
      </c>
      <c r="C1207" s="2">
        <f>IFERROR(__xludf.DUMMYFUNCTION("""COMPUTED_VALUE"""),6.53)</f>
        <v>6.53</v>
      </c>
      <c r="D1207" s="2">
        <f t="shared" si="5"/>
        <v>-0.009104704097</v>
      </c>
    </row>
    <row r="1208">
      <c r="A1208" s="1" t="s">
        <v>6</v>
      </c>
      <c r="B1208" s="3">
        <f>IFERROR(__xludf.DUMMYFUNCTION("""COMPUTED_VALUE"""),45996.66666666667)</f>
        <v>45996.66667</v>
      </c>
      <c r="C1208" s="2">
        <f>IFERROR(__xludf.DUMMYFUNCTION("""COMPUTED_VALUE"""),6.32)</f>
        <v>6.32</v>
      </c>
      <c r="D1208" s="2">
        <f t="shared" si="5"/>
        <v>-0.03215926493</v>
      </c>
    </row>
    <row r="1209">
      <c r="A1209" s="1" t="s">
        <v>6</v>
      </c>
      <c r="B1209" s="3">
        <f>IFERROR(__xludf.DUMMYFUNCTION("""COMPUTED_VALUE"""),45999.66666666667)</f>
        <v>45999.66667</v>
      </c>
      <c r="C1209" s="2">
        <f>IFERROR(__xludf.DUMMYFUNCTION("""COMPUTED_VALUE"""),6.03)</f>
        <v>6.03</v>
      </c>
      <c r="D1209" s="2">
        <f t="shared" si="5"/>
        <v>-0.04588607595</v>
      </c>
    </row>
    <row r="1210">
      <c r="A1210" s="1" t="s">
        <v>6</v>
      </c>
      <c r="B1210" s="3">
        <f>IFERROR(__xludf.DUMMYFUNCTION("""COMPUTED_VALUE"""),46000.66666666667)</f>
        <v>46000.66667</v>
      </c>
      <c r="C1210" s="2">
        <f>IFERROR(__xludf.DUMMYFUNCTION("""COMPUTED_VALUE"""),6.11)</f>
        <v>6.11</v>
      </c>
      <c r="D1210" s="2">
        <f t="shared" si="5"/>
        <v>0.01326699834</v>
      </c>
    </row>
    <row r="1211">
      <c r="A1211" s="1" t="s">
        <v>6</v>
      </c>
      <c r="B1211" s="3">
        <f>IFERROR(__xludf.DUMMYFUNCTION("""COMPUTED_VALUE"""),46001.66666666667)</f>
        <v>46001.66667</v>
      </c>
      <c r="C1211" s="2">
        <f>IFERROR(__xludf.DUMMYFUNCTION("""COMPUTED_VALUE"""),6.41)</f>
        <v>6.41</v>
      </c>
      <c r="D1211" s="2">
        <f t="shared" si="5"/>
        <v>0.04909983633</v>
      </c>
    </row>
    <row r="1212">
      <c r="A1212" s="1" t="s">
        <v>6</v>
      </c>
      <c r="B1212" s="3">
        <f>IFERROR(__xludf.DUMMYFUNCTION("""COMPUTED_VALUE"""),46002.66666666667)</f>
        <v>46002.66667</v>
      </c>
      <c r="C1212" s="2">
        <f>IFERROR(__xludf.DUMMYFUNCTION("""COMPUTED_VALUE"""),6.39)</f>
        <v>6.39</v>
      </c>
      <c r="D1212" s="2">
        <f t="shared" si="5"/>
        <v>-0.003120124805</v>
      </c>
    </row>
    <row r="1213">
      <c r="A1213" s="1" t="s">
        <v>6</v>
      </c>
      <c r="B1213" s="3">
        <f>IFERROR(__xludf.DUMMYFUNCTION("""COMPUTED_VALUE"""),46003.66666666667)</f>
        <v>46003.66667</v>
      </c>
      <c r="C1213" s="2">
        <f>IFERROR(__xludf.DUMMYFUNCTION("""COMPUTED_VALUE"""),6.33)</f>
        <v>6.33</v>
      </c>
      <c r="D1213" s="2">
        <f t="shared" si="5"/>
        <v>-0.009389671362</v>
      </c>
    </row>
    <row r="1214">
      <c r="A1214" s="1" t="s">
        <v>6</v>
      </c>
      <c r="B1214" s="3">
        <f>IFERROR(__xludf.DUMMYFUNCTION("""COMPUTED_VALUE"""),46006.66666666667)</f>
        <v>46006.66667</v>
      </c>
      <c r="C1214" s="2">
        <f>IFERROR(__xludf.DUMMYFUNCTION("""COMPUTED_VALUE"""),6.25)</f>
        <v>6.25</v>
      </c>
      <c r="D1214" s="2">
        <f t="shared" si="5"/>
        <v>-0.01263823065</v>
      </c>
    </row>
    <row r="1215">
      <c r="A1215" s="1" t="s">
        <v>6</v>
      </c>
      <c r="B1215" s="3">
        <f>IFERROR(__xludf.DUMMYFUNCTION("""COMPUTED_VALUE"""),46007.66666666667)</f>
        <v>46007.66667</v>
      </c>
      <c r="C1215" s="2">
        <f>IFERROR(__xludf.DUMMYFUNCTION("""COMPUTED_VALUE"""),6.46)</f>
        <v>6.46</v>
      </c>
      <c r="D1215" s="2">
        <f t="shared" si="5"/>
        <v>0.0336</v>
      </c>
    </row>
    <row r="1216">
      <c r="A1216" s="1" t="s">
        <v>6</v>
      </c>
      <c r="B1216" s="3">
        <f>IFERROR(__xludf.DUMMYFUNCTION("""COMPUTED_VALUE"""),46008.66666666667)</f>
        <v>46008.66667</v>
      </c>
      <c r="C1216" s="2">
        <f>IFERROR(__xludf.DUMMYFUNCTION("""COMPUTED_VALUE"""),6.2)</f>
        <v>6.2</v>
      </c>
      <c r="D1216" s="2">
        <f t="shared" si="5"/>
        <v>-0.04024767802</v>
      </c>
    </row>
    <row r="1217">
      <c r="A1217" s="1" t="s">
        <v>6</v>
      </c>
      <c r="B1217" s="3">
        <f>IFERROR(__xludf.DUMMYFUNCTION("""COMPUTED_VALUE"""),46009.66666666667)</f>
        <v>46009.66667</v>
      </c>
      <c r="C1217" s="2">
        <f>IFERROR(__xludf.DUMMYFUNCTION("""COMPUTED_VALUE"""),6.17)</f>
        <v>6.17</v>
      </c>
      <c r="D1217" s="2">
        <f t="shared" si="5"/>
        <v>-0.004838709677</v>
      </c>
    </row>
    <row r="1218">
      <c r="A1218" s="1" t="s">
        <v>6</v>
      </c>
      <c r="B1218" s="3">
        <f>IFERROR(__xludf.DUMMYFUNCTION("""COMPUTED_VALUE"""),46010.66666666667)</f>
        <v>46010.66667</v>
      </c>
      <c r="C1218" s="2">
        <f>IFERROR(__xludf.DUMMYFUNCTION("""COMPUTED_VALUE"""),6.02)</f>
        <v>6.02</v>
      </c>
      <c r="D1218" s="2">
        <f t="shared" si="5"/>
        <v>-0.02431118314</v>
      </c>
    </row>
    <row r="1219">
      <c r="A1219" s="1" t="s">
        <v>6</v>
      </c>
      <c r="B1219" s="3">
        <f>IFERROR(__xludf.DUMMYFUNCTION("""COMPUTED_VALUE"""),46013.66666666667)</f>
        <v>46013.66667</v>
      </c>
      <c r="C1219" s="2">
        <f>IFERROR(__xludf.DUMMYFUNCTION("""COMPUTED_VALUE"""),5.77)</f>
        <v>5.77</v>
      </c>
      <c r="D1219" s="2">
        <f t="shared" si="5"/>
        <v>-0.0415282392</v>
      </c>
    </row>
    <row r="1220">
      <c r="A1220" s="1" t="s">
        <v>6</v>
      </c>
      <c r="B1220" s="3">
        <f>IFERROR(__xludf.DUMMYFUNCTION("""COMPUTED_VALUE"""),46014.66666666667)</f>
        <v>46014.66667</v>
      </c>
      <c r="C1220" s="2">
        <f>IFERROR(__xludf.DUMMYFUNCTION("""COMPUTED_VALUE"""),5.67)</f>
        <v>5.67</v>
      </c>
      <c r="D1220" s="2">
        <f t="shared" si="5"/>
        <v>-0.01733102253</v>
      </c>
    </row>
    <row r="1221">
      <c r="A1221" s="1" t="s">
        <v>6</v>
      </c>
      <c r="B1221" s="3">
        <f>IFERROR(__xludf.DUMMYFUNCTION("""COMPUTED_VALUE"""),46015.54166666667)</f>
        <v>46015.54167</v>
      </c>
      <c r="C1221" s="2">
        <f>IFERROR(__xludf.DUMMYFUNCTION("""COMPUTED_VALUE"""),5.6)</f>
        <v>5.6</v>
      </c>
      <c r="D1221" s="2">
        <f t="shared" si="5"/>
        <v>-0.01234567901</v>
      </c>
    </row>
    <row r="1222">
      <c r="A1222" s="1" t="s">
        <v>6</v>
      </c>
      <c r="B1222" s="3">
        <f>IFERROR(__xludf.DUMMYFUNCTION("""COMPUTED_VALUE"""),46017.66666666667)</f>
        <v>46017.66667</v>
      </c>
      <c r="C1222" s="2">
        <f>IFERROR(__xludf.DUMMYFUNCTION("""COMPUTED_VALUE"""),5.65)</f>
        <v>5.65</v>
      </c>
      <c r="D1222" s="2">
        <f t="shared" si="5"/>
        <v>0.008928571429</v>
      </c>
    </row>
    <row r="1223">
      <c r="A1223" s="1" t="s">
        <v>6</v>
      </c>
      <c r="B1223" s="3">
        <f>IFERROR(__xludf.DUMMYFUNCTION("""COMPUTED_VALUE"""),46020.66666666667)</f>
        <v>46020.66667</v>
      </c>
      <c r="C1223" s="2">
        <f>IFERROR(__xludf.DUMMYFUNCTION("""COMPUTED_VALUE"""),5.48)</f>
        <v>5.48</v>
      </c>
      <c r="D1223" s="2">
        <f t="shared" si="5"/>
        <v>-0.03008849558</v>
      </c>
    </row>
    <row r="1224">
      <c r="A1224" s="1" t="s">
        <v>6</v>
      </c>
      <c r="B1224" s="3">
        <f>IFERROR(__xludf.DUMMYFUNCTION("""COMPUTED_VALUE"""),46021.66666666667)</f>
        <v>46021.66667</v>
      </c>
      <c r="C1224" s="2">
        <f>IFERROR(__xludf.DUMMYFUNCTION("""COMPUTED_VALUE"""),5.49)</f>
        <v>5.49</v>
      </c>
      <c r="D1224" s="2">
        <f t="shared" si="5"/>
        <v>0.001824817518</v>
      </c>
    </row>
    <row r="1225">
      <c r="A1225" s="1" t="s">
        <v>6</v>
      </c>
      <c r="B1225" s="3">
        <f>IFERROR(__xludf.DUMMYFUNCTION("""COMPUTED_VALUE"""),46022.66666666667)</f>
        <v>46022.66667</v>
      </c>
      <c r="C1225" s="2">
        <f>IFERROR(__xludf.DUMMYFUNCTION("""COMPUTED_VALUE"""),5.46)</f>
        <v>5.46</v>
      </c>
      <c r="D1225" s="2">
        <f t="shared" si="5"/>
        <v>-0.005464480874</v>
      </c>
    </row>
    <row r="1226">
      <c r="A1226" s="1" t="s">
        <v>6</v>
      </c>
      <c r="B1226" s="3">
        <f>IFERROR(__xludf.DUMMYFUNCTION("""COMPUTED_VALUE"""),46024.66666666667)</f>
        <v>46024.66667</v>
      </c>
      <c r="C1226" s="2">
        <f>IFERROR(__xludf.DUMMYFUNCTION("""COMPUTED_VALUE"""),5.91)</f>
        <v>5.91</v>
      </c>
      <c r="D1226" s="2">
        <f t="shared" si="5"/>
        <v>0.08241758242</v>
      </c>
    </row>
    <row r="1227">
      <c r="A1227" s="1" t="s">
        <v>6</v>
      </c>
      <c r="B1227" s="3">
        <f>IFERROR(__xludf.DUMMYFUNCTION("""COMPUTED_VALUE"""),46027.66666666667)</f>
        <v>46027.66667</v>
      </c>
      <c r="C1227" s="2">
        <f>IFERROR(__xludf.DUMMYFUNCTION("""COMPUTED_VALUE"""),6.25)</f>
        <v>6.25</v>
      </c>
      <c r="D1227" s="2">
        <f t="shared" si="5"/>
        <v>0.05752961083</v>
      </c>
    </row>
    <row r="1228">
      <c r="A1228" s="1" t="s">
        <v>6</v>
      </c>
      <c r="B1228" s="3">
        <f>IFERROR(__xludf.DUMMYFUNCTION("""COMPUTED_VALUE"""),46028.66666666667)</f>
        <v>46028.66667</v>
      </c>
      <c r="C1228" s="2">
        <f>IFERROR(__xludf.DUMMYFUNCTION("""COMPUTED_VALUE"""),6.28)</f>
        <v>6.28</v>
      </c>
      <c r="D1228" s="2">
        <f t="shared" si="5"/>
        <v>0.0048</v>
      </c>
    </row>
    <row r="1229">
      <c r="A1229" s="1" t="s">
        <v>6</v>
      </c>
      <c r="B1229" s="3">
        <f>IFERROR(__xludf.DUMMYFUNCTION("""COMPUTED_VALUE"""),46029.66666666667)</f>
        <v>46029.66667</v>
      </c>
      <c r="C1229" s="2">
        <f>IFERROR(__xludf.DUMMYFUNCTION("""COMPUTED_VALUE"""),5.97)</f>
        <v>5.97</v>
      </c>
      <c r="D1229" s="2">
        <f t="shared" si="5"/>
        <v>-0.04936305732</v>
      </c>
    </row>
    <row r="1230">
      <c r="A1230" s="1" t="s">
        <v>6</v>
      </c>
      <c r="B1230" s="3">
        <f>IFERROR(__xludf.DUMMYFUNCTION("""COMPUTED_VALUE"""),46030.66666666667)</f>
        <v>46030.66667</v>
      </c>
      <c r="C1230" s="2">
        <f>IFERROR(__xludf.DUMMYFUNCTION("""COMPUTED_VALUE"""),6.7)</f>
        <v>6.7</v>
      </c>
      <c r="D1230" s="2">
        <f t="shared" si="5"/>
        <v>0.122278057</v>
      </c>
    </row>
    <row r="1231">
      <c r="A1231" s="1" t="s">
        <v>6</v>
      </c>
      <c r="B1231" s="3">
        <f>IFERROR(__xludf.DUMMYFUNCTION("""COMPUTED_VALUE"""),46031.66666666667)</f>
        <v>46031.66667</v>
      </c>
      <c r="C1231" s="2">
        <f>IFERROR(__xludf.DUMMYFUNCTION("""COMPUTED_VALUE"""),6.85)</f>
        <v>6.85</v>
      </c>
      <c r="D1231" s="2">
        <f t="shared" si="5"/>
        <v>0.0223880597</v>
      </c>
    </row>
    <row r="1232">
      <c r="A1232" s="1" t="s">
        <v>6</v>
      </c>
      <c r="B1232" s="3">
        <f>IFERROR(__xludf.DUMMYFUNCTION("""COMPUTED_VALUE"""),46034.66666666667)</f>
        <v>46034.66667</v>
      </c>
      <c r="C1232" s="2">
        <f>IFERROR(__xludf.DUMMYFUNCTION("""COMPUTED_VALUE"""),6.6)</f>
        <v>6.6</v>
      </c>
      <c r="D1232" s="2">
        <f t="shared" si="5"/>
        <v>-0.03649635036</v>
      </c>
    </row>
    <row r="1233">
      <c r="A1233" s="1" t="s">
        <v>6</v>
      </c>
      <c r="B1233" s="3">
        <f>IFERROR(__xludf.DUMMYFUNCTION("""COMPUTED_VALUE"""),46035.66666666667)</f>
        <v>46035.66667</v>
      </c>
      <c r="C1233" s="2">
        <f>IFERROR(__xludf.DUMMYFUNCTION("""COMPUTED_VALUE"""),6.67)</f>
        <v>6.67</v>
      </c>
      <c r="D1233" s="2">
        <f t="shared" si="5"/>
        <v>0.01060606061</v>
      </c>
    </row>
    <row r="1234">
      <c r="A1234" s="1" t="s">
        <v>6</v>
      </c>
      <c r="B1234" s="3">
        <f>IFERROR(__xludf.DUMMYFUNCTION("""COMPUTED_VALUE"""),46036.66666666667)</f>
        <v>46036.66667</v>
      </c>
      <c r="C1234" s="2">
        <f>IFERROR(__xludf.DUMMYFUNCTION("""COMPUTED_VALUE"""),6.82)</f>
        <v>6.82</v>
      </c>
      <c r="D1234" s="2">
        <f t="shared" si="5"/>
        <v>0.02248875562</v>
      </c>
    </row>
    <row r="1235">
      <c r="A1235" s="1" t="s">
        <v>6</v>
      </c>
      <c r="B1235" s="3">
        <f>IFERROR(__xludf.DUMMYFUNCTION("""COMPUTED_VALUE"""),46037.66666666667)</f>
        <v>46037.66667</v>
      </c>
      <c r="C1235" s="2">
        <f>IFERROR(__xludf.DUMMYFUNCTION("""COMPUTED_VALUE"""),7.2)</f>
        <v>7.2</v>
      </c>
      <c r="D1235" s="2">
        <f t="shared" si="5"/>
        <v>0.05571847507</v>
      </c>
    </row>
    <row r="1236">
      <c r="A1236" s="1" t="s">
        <v>6</v>
      </c>
      <c r="B1236" s="3">
        <f>IFERROR(__xludf.DUMMYFUNCTION("""COMPUTED_VALUE"""),46038.66666666667)</f>
        <v>46038.66667</v>
      </c>
      <c r="C1236" s="2">
        <f>IFERROR(__xludf.DUMMYFUNCTION("""COMPUTED_VALUE"""),7.26)</f>
        <v>7.26</v>
      </c>
      <c r="D1236" s="2">
        <f t="shared" si="5"/>
        <v>0.008333333333</v>
      </c>
    </row>
    <row r="1237">
      <c r="A1237" s="1" t="s">
        <v>6</v>
      </c>
      <c r="B1237" s="3">
        <f>IFERROR(__xludf.DUMMYFUNCTION("""COMPUTED_VALUE"""),46042.66666666667)</f>
        <v>46042.66667</v>
      </c>
      <c r="C1237" s="2">
        <f>IFERROR(__xludf.DUMMYFUNCTION("""COMPUTED_VALUE"""),6.97)</f>
        <v>6.97</v>
      </c>
      <c r="D1237" s="2">
        <f t="shared" si="5"/>
        <v>-0.03994490358</v>
      </c>
    </row>
    <row r="1238">
      <c r="A1238" s="1" t="s">
        <v>6</v>
      </c>
      <c r="B1238" s="3">
        <f>IFERROR(__xludf.DUMMYFUNCTION("""COMPUTED_VALUE"""),46043.66666666667)</f>
        <v>46043.66667</v>
      </c>
      <c r="C1238" s="2">
        <f>IFERROR(__xludf.DUMMYFUNCTION("""COMPUTED_VALUE"""),7.03)</f>
        <v>7.03</v>
      </c>
      <c r="D1238" s="2">
        <f t="shared" si="5"/>
        <v>0.008608321377</v>
      </c>
    </row>
    <row r="1239">
      <c r="A1239" s="1" t="s">
        <v>6</v>
      </c>
      <c r="B1239" s="3">
        <f>IFERROR(__xludf.DUMMYFUNCTION("""COMPUTED_VALUE"""),46044.66666666667)</f>
        <v>46044.66667</v>
      </c>
      <c r="C1239" s="2">
        <f>IFERROR(__xludf.DUMMYFUNCTION("""COMPUTED_VALUE"""),7.42)</f>
        <v>7.42</v>
      </c>
      <c r="D1239" s="2">
        <f t="shared" si="5"/>
        <v>0.05547652916</v>
      </c>
    </row>
    <row r="1240">
      <c r="A1240" s="1" t="s">
        <v>6</v>
      </c>
      <c r="B1240" s="3">
        <f>IFERROR(__xludf.DUMMYFUNCTION("""COMPUTED_VALUE"""),46045.66666666667)</f>
        <v>46045.66667</v>
      </c>
      <c r="C1240" s="2">
        <f>IFERROR(__xludf.DUMMYFUNCTION("""COMPUTED_VALUE"""),6.87)</f>
        <v>6.87</v>
      </c>
      <c r="D1240" s="2">
        <f t="shared" si="5"/>
        <v>-0.07412398922</v>
      </c>
    </row>
    <row r="1241">
      <c r="A1241" s="1" t="s">
        <v>6</v>
      </c>
      <c r="B1241" s="3">
        <f>IFERROR(__xludf.DUMMYFUNCTION("""COMPUTED_VALUE"""),46048.66666666667)</f>
        <v>46048.66667</v>
      </c>
      <c r="C1241" s="2">
        <f>IFERROR(__xludf.DUMMYFUNCTION("""COMPUTED_VALUE"""),6.81)</f>
        <v>6.81</v>
      </c>
      <c r="D1241" s="2">
        <f t="shared" si="5"/>
        <v>-0.008733624454</v>
      </c>
    </row>
    <row r="1242">
      <c r="A1242" s="1" t="s">
        <v>6</v>
      </c>
      <c r="B1242" s="3">
        <f>IFERROR(__xludf.DUMMYFUNCTION("""COMPUTED_VALUE"""),46049.66666666667)</f>
        <v>46049.66667</v>
      </c>
      <c r="C1242" s="2">
        <f>IFERROR(__xludf.DUMMYFUNCTION("""COMPUTED_VALUE"""),6.64)</f>
        <v>6.64</v>
      </c>
      <c r="D1242" s="2">
        <f t="shared" si="5"/>
        <v>-0.02496328928</v>
      </c>
    </row>
    <row r="1243">
      <c r="A1243" s="1" t="s">
        <v>6</v>
      </c>
      <c r="B1243" s="3">
        <f>IFERROR(__xludf.DUMMYFUNCTION("""COMPUTED_VALUE"""),46050.66666666667)</f>
        <v>46050.66667</v>
      </c>
      <c r="C1243" s="2">
        <f>IFERROR(__xludf.DUMMYFUNCTION("""COMPUTED_VALUE"""),6.52)</f>
        <v>6.52</v>
      </c>
      <c r="D1243" s="2">
        <f t="shared" si="5"/>
        <v>-0.01807228916</v>
      </c>
    </row>
    <row r="1244">
      <c r="A1244" s="1" t="s">
        <v>6</v>
      </c>
      <c r="B1244" s="3">
        <f>IFERROR(__xludf.DUMMYFUNCTION("""COMPUTED_VALUE"""),46051.66666666667)</f>
        <v>46051.66667</v>
      </c>
      <c r="C1244" s="2">
        <f>IFERROR(__xludf.DUMMYFUNCTION("""COMPUTED_VALUE"""),6.29)</f>
        <v>6.29</v>
      </c>
      <c r="D1244" s="2">
        <f t="shared" si="5"/>
        <v>-0.03527607362</v>
      </c>
    </row>
    <row r="1245">
      <c r="A1245" s="1" t="s">
        <v>6</v>
      </c>
      <c r="B1245" s="3">
        <f>IFERROR(__xludf.DUMMYFUNCTION("""COMPUTED_VALUE"""),46052.66666666667)</f>
        <v>46052.66667</v>
      </c>
      <c r="C1245" s="2">
        <f>IFERROR(__xludf.DUMMYFUNCTION("""COMPUTED_VALUE"""),5.91)</f>
        <v>5.91</v>
      </c>
      <c r="D1245" s="2">
        <f t="shared" si="5"/>
        <v>-0.06041335453</v>
      </c>
    </row>
    <row r="1246">
      <c r="A1246" s="1" t="s">
        <v>6</v>
      </c>
      <c r="B1246" s="3">
        <f>IFERROR(__xludf.DUMMYFUNCTION("""COMPUTED_VALUE"""),46055.66666666667)</f>
        <v>46055.66667</v>
      </c>
      <c r="C1246" s="2">
        <f>IFERROR(__xludf.DUMMYFUNCTION("""COMPUTED_VALUE"""),6.13)</f>
        <v>6.13</v>
      </c>
      <c r="D1246" s="2">
        <f t="shared" si="5"/>
        <v>0.0372250423</v>
      </c>
    </row>
    <row r="1247">
      <c r="A1247" s="1" t="s">
        <v>6</v>
      </c>
      <c r="B1247" s="3">
        <f>IFERROR(__xludf.DUMMYFUNCTION("""COMPUTED_VALUE"""),46056.66666666667)</f>
        <v>46056.66667</v>
      </c>
      <c r="C1247" s="2">
        <f>IFERROR(__xludf.DUMMYFUNCTION("""COMPUTED_VALUE"""),5.98)</f>
        <v>5.98</v>
      </c>
      <c r="D1247" s="2">
        <f t="shared" si="5"/>
        <v>-0.02446982055</v>
      </c>
    </row>
    <row r="1248">
      <c r="A1248" s="1" t="s">
        <v>6</v>
      </c>
      <c r="B1248" s="3">
        <f>IFERROR(__xludf.DUMMYFUNCTION("""COMPUTED_VALUE"""),46057.66666666667)</f>
        <v>46057.66667</v>
      </c>
      <c r="C1248" s="2">
        <f>IFERROR(__xludf.DUMMYFUNCTION("""COMPUTED_VALUE"""),5.62)</f>
        <v>5.62</v>
      </c>
      <c r="D1248" s="2">
        <f t="shared" si="5"/>
        <v>-0.0602006689</v>
      </c>
    </row>
    <row r="1249">
      <c r="A1249" s="1" t="s">
        <v>6</v>
      </c>
      <c r="B1249" s="3">
        <f>IFERROR(__xludf.DUMMYFUNCTION("""COMPUTED_VALUE"""),46058.66666666667)</f>
        <v>46058.66667</v>
      </c>
      <c r="C1249" s="2">
        <f>IFERROR(__xludf.DUMMYFUNCTION("""COMPUTED_VALUE"""),5.16)</f>
        <v>5.16</v>
      </c>
      <c r="D1249" s="2">
        <f t="shared" si="5"/>
        <v>-0.08185053381</v>
      </c>
    </row>
    <row r="1250">
      <c r="A1250" s="1" t="s">
        <v>6</v>
      </c>
      <c r="B1250" s="3">
        <f>IFERROR(__xludf.DUMMYFUNCTION("""COMPUTED_VALUE"""),46059.66666666667)</f>
        <v>46059.66667</v>
      </c>
      <c r="C1250" s="2">
        <f>IFERROR(__xludf.DUMMYFUNCTION("""COMPUTED_VALUE"""),5.47)</f>
        <v>5.47</v>
      </c>
      <c r="D1250" s="2">
        <f t="shared" si="5"/>
        <v>0.06007751938</v>
      </c>
    </row>
    <row r="1251">
      <c r="A1251" s="1" t="s">
        <v>6</v>
      </c>
      <c r="B1251" s="3">
        <f>IFERROR(__xludf.DUMMYFUNCTION("""COMPUTED_VALUE"""),46062.66666666667)</f>
        <v>46062.66667</v>
      </c>
      <c r="C1251" s="2">
        <f>IFERROR(__xludf.DUMMYFUNCTION("""COMPUTED_VALUE"""),5.52)</f>
        <v>5.52</v>
      </c>
      <c r="D1251" s="2">
        <f t="shared" si="5"/>
        <v>0.009140767824</v>
      </c>
    </row>
    <row r="1252">
      <c r="A1252" s="1" t="s">
        <v>6</v>
      </c>
      <c r="B1252" s="3">
        <f>IFERROR(__xludf.DUMMYFUNCTION("""COMPUTED_VALUE"""),46063.66666666667)</f>
        <v>46063.66667</v>
      </c>
      <c r="C1252" s="2">
        <f>IFERROR(__xludf.DUMMYFUNCTION("""COMPUTED_VALUE"""),5.39)</f>
        <v>5.39</v>
      </c>
      <c r="D1252" s="2">
        <f t="shared" si="5"/>
        <v>-0.02355072464</v>
      </c>
    </row>
    <row r="1253">
      <c r="A1253" s="1" t="s">
        <v>6</v>
      </c>
      <c r="B1253" s="3">
        <f>IFERROR(__xludf.DUMMYFUNCTION("""COMPUTED_VALUE"""),46064.66666666667)</f>
        <v>46064.66667</v>
      </c>
      <c r="C1253" s="2">
        <f>IFERROR(__xludf.DUMMYFUNCTION("""COMPUTED_VALUE"""),5.22)</f>
        <v>5.22</v>
      </c>
      <c r="D1253" s="2">
        <f t="shared" si="5"/>
        <v>-0.03153988868</v>
      </c>
    </row>
    <row r="1254">
      <c r="A1254" s="1" t="s">
        <v>6</v>
      </c>
      <c r="B1254" s="3">
        <f>IFERROR(__xludf.DUMMYFUNCTION("""COMPUTED_VALUE"""),46065.66666666667)</f>
        <v>46065.66667</v>
      </c>
      <c r="C1254" s="2">
        <f>IFERROR(__xludf.DUMMYFUNCTION("""COMPUTED_VALUE"""),4.87)</f>
        <v>4.87</v>
      </c>
      <c r="D1254" s="2">
        <f t="shared" si="5"/>
        <v>-0.06704980843</v>
      </c>
    </row>
    <row r="1255">
      <c r="A1255" s="1" t="s">
        <v>6</v>
      </c>
      <c r="B1255" s="3">
        <f>IFERROR(__xludf.DUMMYFUNCTION("""COMPUTED_VALUE"""),46066.66666666667)</f>
        <v>46066.66667</v>
      </c>
      <c r="C1255" s="2">
        <f>IFERROR(__xludf.DUMMYFUNCTION("""COMPUTED_VALUE"""),4.99)</f>
        <v>4.99</v>
      </c>
      <c r="D1255" s="2">
        <f t="shared" si="5"/>
        <v>0.02464065708</v>
      </c>
    </row>
    <row r="1256">
      <c r="A1256" s="1" t="s">
        <v>6</v>
      </c>
      <c r="B1256" s="3">
        <f>IFERROR(__xludf.DUMMYFUNCTION("""COMPUTED_VALUE"""),46070.66666666667)</f>
        <v>46070.66667</v>
      </c>
      <c r="C1256" s="2">
        <f>IFERROR(__xludf.DUMMYFUNCTION("""COMPUTED_VALUE"""),4.99)</f>
        <v>4.99</v>
      </c>
      <c r="D1256" s="2">
        <f t="shared" si="5"/>
        <v>0</v>
      </c>
    </row>
    <row r="1257">
      <c r="A1257" s="1" t="s">
        <v>6</v>
      </c>
      <c r="B1257" s="3">
        <f>IFERROR(__xludf.DUMMYFUNCTION("""COMPUTED_VALUE"""),46071.66666666667)</f>
        <v>46071.66667</v>
      </c>
      <c r="C1257" s="2">
        <f>IFERROR(__xludf.DUMMYFUNCTION("""COMPUTED_VALUE"""),5.04)</f>
        <v>5.04</v>
      </c>
      <c r="D1257" s="2">
        <f t="shared" si="5"/>
        <v>0.01002004008</v>
      </c>
    </row>
    <row r="1258">
      <c r="A1258" s="1" t="s">
        <v>6</v>
      </c>
      <c r="B1258" s="3">
        <f>IFERROR(__xludf.DUMMYFUNCTION("""COMPUTED_VALUE"""),46072.66666666667)</f>
        <v>46072.66667</v>
      </c>
      <c r="C1258" s="2">
        <f>IFERROR(__xludf.DUMMYFUNCTION("""COMPUTED_VALUE"""),5.16)</f>
        <v>5.16</v>
      </c>
      <c r="D1258" s="2">
        <f t="shared" si="5"/>
        <v>0.02380952381</v>
      </c>
    </row>
    <row r="1259">
      <c r="A1259" s="1" t="s">
        <v>6</v>
      </c>
      <c r="B1259" s="3">
        <f>IFERROR(__xludf.DUMMYFUNCTION("""COMPUTED_VALUE"""),46073.66666666667)</f>
        <v>46073.66667</v>
      </c>
      <c r="C1259" s="2">
        <f>IFERROR(__xludf.DUMMYFUNCTION("""COMPUTED_VALUE"""),5.23)</f>
        <v>5.23</v>
      </c>
      <c r="D1259" s="2">
        <f t="shared" si="5"/>
        <v>0.01356589147</v>
      </c>
    </row>
    <row r="1260">
      <c r="A1260" s="1" t="s">
        <v>6</v>
      </c>
      <c r="D1260" s="2">
        <f t="shared" si="5"/>
        <v>-1</v>
      </c>
    </row>
  </sheetData>
  <drawing r:id="rId1"/>
</worksheet>
</file>